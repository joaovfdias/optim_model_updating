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6a3e2caf33c27/Documents/Ufes/TCC/PG/"/>
    </mc:Choice>
  </mc:AlternateContent>
  <xr:revisionPtr revIDLastSave="665" documentId="13_ncr:1_{BB97F134-D1FD-4C28-8645-3E53DD9175D3}" xr6:coauthVersionLast="47" xr6:coauthVersionMax="47" xr10:uidLastSave="{150FBBB7-C494-467A-A686-5B258AE0B959}"/>
  <bookViews>
    <workbookView xWindow="-83" yWindow="0" windowWidth="21766" windowHeight="11640" xr2:uid="{D83F4EB1-2DB5-4823-9A69-21CC96631C4C}"/>
  </bookViews>
  <sheets>
    <sheet name="Sheet2" sheetId="4" r:id="rId1"/>
    <sheet name="New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4" l="1"/>
  <c r="O72" i="4"/>
  <c r="O71" i="4"/>
  <c r="O70" i="4"/>
  <c r="O69" i="4"/>
  <c r="M73" i="4"/>
  <c r="M72" i="4"/>
  <c r="M71" i="4"/>
  <c r="M70" i="4"/>
  <c r="M69" i="4"/>
  <c r="K73" i="4"/>
  <c r="K72" i="4"/>
  <c r="K71" i="4"/>
  <c r="K70" i="4"/>
  <c r="K69" i="4"/>
  <c r="I73" i="4"/>
  <c r="I72" i="4"/>
  <c r="I71" i="4"/>
  <c r="I70" i="4"/>
  <c r="I69" i="4"/>
  <c r="G73" i="4"/>
  <c r="G72" i="4"/>
  <c r="G71" i="4"/>
  <c r="G70" i="4"/>
  <c r="G69" i="4"/>
  <c r="E73" i="4"/>
  <c r="E72" i="4"/>
  <c r="E71" i="4"/>
  <c r="E70" i="4"/>
  <c r="E69" i="4"/>
  <c r="O63" i="4"/>
  <c r="O62" i="4"/>
  <c r="O61" i="4"/>
  <c r="O60" i="4"/>
  <c r="O59" i="4"/>
  <c r="O58" i="4"/>
  <c r="O57" i="4"/>
  <c r="M63" i="4"/>
  <c r="M62" i="4"/>
  <c r="M61" i="4"/>
  <c r="M60" i="4"/>
  <c r="M59" i="4"/>
  <c r="M58" i="4"/>
  <c r="M57" i="4"/>
  <c r="K63" i="4"/>
  <c r="K62" i="4"/>
  <c r="K61" i="4"/>
  <c r="K60" i="4"/>
  <c r="K59" i="4"/>
  <c r="K58" i="4"/>
  <c r="K57" i="4"/>
  <c r="I63" i="4"/>
  <c r="I62" i="4"/>
  <c r="I61" i="4"/>
  <c r="I60" i="4"/>
  <c r="I59" i="4"/>
  <c r="I58" i="4"/>
  <c r="I57" i="4"/>
  <c r="G63" i="4"/>
  <c r="G62" i="4"/>
  <c r="G61" i="4"/>
  <c r="G60" i="4"/>
  <c r="G59" i="4"/>
  <c r="G58" i="4"/>
  <c r="G57" i="4"/>
  <c r="E63" i="4"/>
  <c r="E62" i="4"/>
  <c r="E61" i="4"/>
  <c r="E60" i="4"/>
  <c r="E59" i="4"/>
  <c r="E58" i="4"/>
  <c r="E57" i="4"/>
  <c r="O51" i="4"/>
  <c r="O50" i="4"/>
  <c r="O49" i="4"/>
  <c r="O48" i="4"/>
  <c r="O47" i="4"/>
  <c r="O46" i="4"/>
  <c r="O45" i="4"/>
  <c r="M51" i="4"/>
  <c r="M50" i="4"/>
  <c r="M49" i="4"/>
  <c r="M48" i="4"/>
  <c r="M47" i="4"/>
  <c r="M46" i="4"/>
  <c r="M45" i="4"/>
  <c r="K51" i="4"/>
  <c r="K50" i="4"/>
  <c r="K49" i="4"/>
  <c r="K48" i="4"/>
  <c r="K47" i="4"/>
  <c r="K46" i="4"/>
  <c r="K45" i="4"/>
  <c r="I51" i="4"/>
  <c r="I50" i="4"/>
  <c r="I49" i="4"/>
  <c r="I48" i="4"/>
  <c r="I47" i="4"/>
  <c r="I46" i="4"/>
  <c r="I45" i="4"/>
  <c r="G51" i="4"/>
  <c r="G50" i="4"/>
  <c r="G49" i="4"/>
  <c r="G48" i="4"/>
  <c r="G47" i="4"/>
  <c r="G46" i="4"/>
  <c r="G45" i="4"/>
  <c r="E51" i="4"/>
  <c r="E50" i="4"/>
  <c r="E49" i="4"/>
  <c r="E48" i="4"/>
  <c r="E47" i="4"/>
  <c r="E46" i="4"/>
  <c r="E45" i="4"/>
  <c r="M33" i="4"/>
  <c r="O37" i="4"/>
  <c r="O36" i="4"/>
  <c r="O35" i="4"/>
  <c r="O34" i="4"/>
  <c r="O33" i="4"/>
  <c r="M37" i="4"/>
  <c r="M36" i="4"/>
  <c r="M35" i="4"/>
  <c r="M34" i="4"/>
  <c r="K37" i="4"/>
  <c r="K36" i="4"/>
  <c r="K35" i="4"/>
  <c r="K34" i="4"/>
  <c r="K33" i="4"/>
  <c r="I37" i="4"/>
  <c r="I36" i="4"/>
  <c r="I35" i="4"/>
  <c r="I34" i="4"/>
  <c r="I33" i="4"/>
  <c r="G37" i="4"/>
  <c r="G36" i="4"/>
  <c r="G35" i="4"/>
  <c r="G34" i="4"/>
  <c r="G33" i="4"/>
  <c r="E37" i="4"/>
  <c r="E36" i="4"/>
  <c r="E35" i="4"/>
  <c r="E34" i="4"/>
  <c r="E33" i="4"/>
  <c r="E23" i="4"/>
  <c r="E24" i="4"/>
  <c r="E22" i="4"/>
  <c r="E21" i="4"/>
  <c r="E20" i="4"/>
  <c r="E19" i="4"/>
  <c r="E18" i="4"/>
  <c r="O10" i="4"/>
  <c r="O9" i="4"/>
  <c r="O8" i="4"/>
  <c r="O7" i="4"/>
  <c r="O6" i="4"/>
  <c r="M10" i="4"/>
  <c r="M9" i="4"/>
  <c r="M8" i="4"/>
  <c r="M7" i="4"/>
  <c r="M6" i="4"/>
  <c r="K10" i="4"/>
  <c r="K9" i="4"/>
  <c r="K8" i="4"/>
  <c r="K7" i="4"/>
  <c r="K6" i="4"/>
  <c r="I10" i="4"/>
  <c r="I9" i="4"/>
  <c r="I8" i="4"/>
  <c r="I7" i="4"/>
  <c r="I6" i="4"/>
  <c r="G10" i="4"/>
  <c r="G9" i="4"/>
  <c r="G8" i="4"/>
  <c r="G7" i="4"/>
  <c r="G6" i="4"/>
  <c r="E10" i="4"/>
  <c r="E9" i="4"/>
  <c r="E8" i="4"/>
  <c r="E7" i="4"/>
  <c r="E6" i="4"/>
  <c r="AH6" i="3"/>
  <c r="AI6" i="3"/>
  <c r="AK6" i="3"/>
  <c r="AM6" i="3"/>
  <c r="AO6" i="3"/>
  <c r="AQ6" i="3"/>
  <c r="AS6" i="3"/>
  <c r="AH7" i="3"/>
  <c r="AI7" i="3"/>
  <c r="AK7" i="3"/>
  <c r="AM7" i="3"/>
  <c r="AO7" i="3"/>
  <c r="AQ7" i="3"/>
  <c r="AS7" i="3"/>
  <c r="AH8" i="3"/>
  <c r="AI8" i="3"/>
  <c r="AK8" i="3"/>
  <c r="AM8" i="3"/>
  <c r="AO8" i="3"/>
  <c r="AQ8" i="3"/>
  <c r="AS8" i="3"/>
  <c r="AH9" i="3"/>
  <c r="AI9" i="3"/>
  <c r="AK9" i="3"/>
  <c r="AM9" i="3"/>
  <c r="AO9" i="3"/>
  <c r="AQ9" i="3"/>
  <c r="AS9" i="3"/>
  <c r="AH10" i="3"/>
  <c r="AI10" i="3"/>
  <c r="AK10" i="3"/>
  <c r="AM10" i="3"/>
  <c r="AO10" i="3"/>
  <c r="AQ10" i="3"/>
  <c r="AS10" i="3"/>
  <c r="AI18" i="3"/>
  <c r="AK18" i="3"/>
  <c r="AM18" i="3"/>
  <c r="AO18" i="3"/>
  <c r="AQ18" i="3"/>
  <c r="AS18" i="3"/>
  <c r="AI19" i="3"/>
  <c r="AK19" i="3"/>
  <c r="AM19" i="3"/>
  <c r="AO19" i="3"/>
  <c r="AQ19" i="3"/>
  <c r="AS19" i="3"/>
  <c r="AI20" i="3"/>
  <c r="AK20" i="3"/>
  <c r="AM20" i="3"/>
  <c r="AO20" i="3"/>
  <c r="AQ20" i="3"/>
  <c r="AS20" i="3"/>
  <c r="AI21" i="3"/>
  <c r="AK21" i="3"/>
  <c r="AM21" i="3"/>
  <c r="AO21" i="3"/>
  <c r="AQ21" i="3"/>
  <c r="AS21" i="3"/>
  <c r="AI22" i="3"/>
  <c r="AK22" i="3"/>
  <c r="AM22" i="3"/>
  <c r="AO22" i="3"/>
  <c r="AQ22" i="3"/>
  <c r="AS22" i="3"/>
  <c r="AI23" i="3"/>
  <c r="AK23" i="3"/>
  <c r="AM23" i="3"/>
  <c r="AO23" i="3"/>
  <c r="AQ23" i="3"/>
  <c r="AS23" i="3"/>
  <c r="AI24" i="3"/>
  <c r="AK24" i="3"/>
  <c r="AM24" i="3"/>
  <c r="AO24" i="3"/>
  <c r="AQ24" i="3"/>
  <c r="AS24" i="3"/>
  <c r="AH33" i="3"/>
  <c r="AI33" i="3"/>
  <c r="AK33" i="3"/>
  <c r="AM33" i="3"/>
  <c r="AO33" i="3"/>
  <c r="AQ33" i="3"/>
  <c r="AS33" i="3"/>
  <c r="AH34" i="3"/>
  <c r="AI34" i="3"/>
  <c r="AK34" i="3"/>
  <c r="AM34" i="3"/>
  <c r="AO34" i="3"/>
  <c r="AQ34" i="3"/>
  <c r="AS34" i="3"/>
  <c r="AH35" i="3"/>
  <c r="AI35" i="3"/>
  <c r="AK35" i="3"/>
  <c r="AM35" i="3"/>
  <c r="AO35" i="3"/>
  <c r="AQ35" i="3"/>
  <c r="AS35" i="3"/>
  <c r="AH36" i="3"/>
  <c r="AI36" i="3"/>
  <c r="AK36" i="3"/>
  <c r="AM36" i="3"/>
  <c r="AO36" i="3"/>
  <c r="AQ36" i="3"/>
  <c r="AS36" i="3"/>
  <c r="AH37" i="3"/>
  <c r="AI37" i="3"/>
  <c r="AK37" i="3"/>
  <c r="AM37" i="3"/>
  <c r="AO37" i="3"/>
  <c r="AQ37" i="3"/>
  <c r="AS37" i="3"/>
  <c r="AI45" i="3"/>
  <c r="AK45" i="3"/>
  <c r="AM45" i="3"/>
  <c r="AO45" i="3"/>
  <c r="AQ45" i="3"/>
  <c r="AS45" i="3"/>
  <c r="AI46" i="3"/>
  <c r="AK46" i="3"/>
  <c r="AM46" i="3"/>
  <c r="AO46" i="3"/>
  <c r="AQ46" i="3"/>
  <c r="AS46" i="3"/>
  <c r="AI47" i="3"/>
  <c r="AK47" i="3"/>
  <c r="AM47" i="3"/>
  <c r="AO47" i="3"/>
  <c r="AQ47" i="3"/>
  <c r="AS47" i="3"/>
  <c r="AI48" i="3"/>
  <c r="AK48" i="3"/>
  <c r="AM48" i="3"/>
  <c r="AO48" i="3"/>
  <c r="AQ48" i="3"/>
  <c r="AS48" i="3"/>
  <c r="AI49" i="3"/>
  <c r="AK49" i="3"/>
  <c r="AM49" i="3"/>
  <c r="AO49" i="3"/>
  <c r="AQ49" i="3"/>
  <c r="AS49" i="3"/>
  <c r="AI50" i="3"/>
  <c r="AK50" i="3"/>
  <c r="AM50" i="3"/>
  <c r="AO50" i="3"/>
  <c r="AQ50" i="3"/>
  <c r="AS50" i="3"/>
  <c r="AI51" i="3"/>
  <c r="AK51" i="3"/>
  <c r="AM51" i="3"/>
  <c r="AO51" i="3"/>
  <c r="AQ51" i="3"/>
  <c r="AS51" i="3"/>
  <c r="R27" i="3"/>
  <c r="R29" i="3"/>
  <c r="R31" i="3"/>
  <c r="R33" i="3"/>
  <c r="R35" i="3"/>
  <c r="R37" i="3"/>
  <c r="R39" i="3"/>
  <c r="T123" i="3"/>
  <c r="T124" i="3" s="1"/>
  <c r="S123" i="3"/>
  <c r="S124" i="3" s="1"/>
  <c r="R123" i="3"/>
  <c r="R124" i="3" s="1"/>
  <c r="Q123" i="3"/>
  <c r="Q124" i="3" s="1"/>
  <c r="P123" i="3"/>
  <c r="P124" i="3" s="1"/>
  <c r="O123" i="3"/>
  <c r="O124" i="3" s="1"/>
  <c r="T121" i="3"/>
  <c r="T122" i="3" s="1"/>
  <c r="S121" i="3"/>
  <c r="S122" i="3" s="1"/>
  <c r="R121" i="3"/>
  <c r="R122" i="3" s="1"/>
  <c r="Q121" i="3"/>
  <c r="Q122" i="3" s="1"/>
  <c r="P121" i="3"/>
  <c r="P122" i="3" s="1"/>
  <c r="O121" i="3"/>
  <c r="O122" i="3" s="1"/>
  <c r="T119" i="3"/>
  <c r="T120" i="3" s="1"/>
  <c r="S119" i="3"/>
  <c r="S120" i="3" s="1"/>
  <c r="R119" i="3"/>
  <c r="R120" i="3" s="1"/>
  <c r="Q119" i="3"/>
  <c r="Q120" i="3" s="1"/>
  <c r="P119" i="3"/>
  <c r="P120" i="3" s="1"/>
  <c r="O119" i="3"/>
  <c r="O120" i="3" s="1"/>
  <c r="T117" i="3"/>
  <c r="T118" i="3" s="1"/>
  <c r="S117" i="3"/>
  <c r="S118" i="3" s="1"/>
  <c r="R117" i="3"/>
  <c r="R118" i="3" s="1"/>
  <c r="Q117" i="3"/>
  <c r="Q118" i="3" s="1"/>
  <c r="P117" i="3"/>
  <c r="P118" i="3" s="1"/>
  <c r="O117" i="3"/>
  <c r="O118" i="3" s="1"/>
  <c r="T115" i="3"/>
  <c r="T116" i="3" s="1"/>
  <c r="S115" i="3"/>
  <c r="S116" i="3" s="1"/>
  <c r="R115" i="3"/>
  <c r="R116" i="3" s="1"/>
  <c r="Q115" i="3"/>
  <c r="Q116" i="3" s="1"/>
  <c r="P115" i="3"/>
  <c r="P116" i="3" s="1"/>
  <c r="O115" i="3"/>
  <c r="O116" i="3" s="1"/>
  <c r="T111" i="3"/>
  <c r="T112" i="3" s="1"/>
  <c r="S111" i="3"/>
  <c r="S112" i="3" s="1"/>
  <c r="R111" i="3"/>
  <c r="R112" i="3" s="1"/>
  <c r="Q111" i="3"/>
  <c r="Q112" i="3" s="1"/>
  <c r="P111" i="3"/>
  <c r="P112" i="3" s="1"/>
  <c r="O111" i="3"/>
  <c r="O112" i="3" s="1"/>
  <c r="S109" i="3"/>
  <c r="T109" i="3"/>
  <c r="S110" i="3"/>
  <c r="T110" i="3"/>
  <c r="P108" i="3"/>
  <c r="Q108" i="3"/>
  <c r="R108" i="3"/>
  <c r="S108" i="3"/>
  <c r="T108" i="3"/>
  <c r="O108" i="3"/>
  <c r="T114" i="3"/>
  <c r="S114" i="3"/>
  <c r="R114" i="3"/>
  <c r="Q114" i="3"/>
  <c r="P114" i="3"/>
  <c r="O114" i="3"/>
  <c r="T102" i="3"/>
  <c r="T103" i="3" s="1"/>
  <c r="S102" i="3"/>
  <c r="S103" i="3" s="1"/>
  <c r="R102" i="3"/>
  <c r="R103" i="3" s="1"/>
  <c r="Q102" i="3"/>
  <c r="Q103" i="3" s="1"/>
  <c r="P102" i="3"/>
  <c r="P103" i="3" s="1"/>
  <c r="O102" i="3"/>
  <c r="O103" i="3" s="1"/>
  <c r="T100" i="3"/>
  <c r="T101" i="3" s="1"/>
  <c r="S100" i="3"/>
  <c r="S101" i="3" s="1"/>
  <c r="R100" i="3"/>
  <c r="R101" i="3" s="1"/>
  <c r="Q100" i="3"/>
  <c r="Q101" i="3" s="1"/>
  <c r="P100" i="3"/>
  <c r="P101" i="3" s="1"/>
  <c r="O100" i="3"/>
  <c r="O101" i="3" s="1"/>
  <c r="T98" i="3"/>
  <c r="T99" i="3" s="1"/>
  <c r="S98" i="3"/>
  <c r="S99" i="3" s="1"/>
  <c r="R98" i="3"/>
  <c r="R99" i="3" s="1"/>
  <c r="Q98" i="3"/>
  <c r="Q99" i="3" s="1"/>
  <c r="P98" i="3"/>
  <c r="P99" i="3" s="1"/>
  <c r="O98" i="3"/>
  <c r="O99" i="3" s="1"/>
  <c r="P94" i="3"/>
  <c r="P95" i="3" s="1"/>
  <c r="Q94" i="3"/>
  <c r="Q95" i="3" s="1"/>
  <c r="R94" i="3"/>
  <c r="R95" i="3" s="1"/>
  <c r="S94" i="3"/>
  <c r="S95" i="3" s="1"/>
  <c r="T94" i="3"/>
  <c r="T95" i="3" s="1"/>
  <c r="O94" i="3"/>
  <c r="O95" i="3" s="1"/>
  <c r="T92" i="3"/>
  <c r="T93" i="3"/>
  <c r="S92" i="3"/>
  <c r="S93" i="3"/>
  <c r="R92" i="3"/>
  <c r="R93" i="3"/>
  <c r="P91" i="3"/>
  <c r="Q91" i="3"/>
  <c r="R91" i="3"/>
  <c r="S91" i="3"/>
  <c r="T91" i="3"/>
  <c r="O91" i="3"/>
  <c r="T97" i="3"/>
  <c r="S97" i="3"/>
  <c r="R97" i="3"/>
  <c r="Q97" i="3"/>
  <c r="P97" i="3"/>
  <c r="O97" i="3"/>
  <c r="AC78" i="3"/>
  <c r="AB78" i="3"/>
  <c r="AA78" i="3"/>
  <c r="Z78" i="3"/>
  <c r="Y78" i="3"/>
  <c r="X78" i="3"/>
  <c r="AC76" i="3"/>
  <c r="AB76" i="3"/>
  <c r="AA76" i="3"/>
  <c r="Z76" i="3"/>
  <c r="Y76" i="3"/>
  <c r="X76" i="3"/>
  <c r="AC74" i="3"/>
  <c r="AB74" i="3"/>
  <c r="AA74" i="3"/>
  <c r="Z74" i="3"/>
  <c r="Y74" i="3"/>
  <c r="X74" i="3"/>
  <c r="AC72" i="3"/>
  <c r="AB72" i="3"/>
  <c r="AA72" i="3"/>
  <c r="Z72" i="3"/>
  <c r="Y72" i="3"/>
  <c r="X72" i="3"/>
  <c r="AC70" i="3"/>
  <c r="AB70" i="3"/>
  <c r="AA70" i="3"/>
  <c r="Z70" i="3"/>
  <c r="Y70" i="3"/>
  <c r="X70" i="3"/>
  <c r="AC68" i="3"/>
  <c r="AB68" i="3"/>
  <c r="AA68" i="3"/>
  <c r="Z68" i="3"/>
  <c r="Y68" i="3"/>
  <c r="X68" i="3"/>
  <c r="AC66" i="3"/>
  <c r="AB66" i="3"/>
  <c r="AA66" i="3"/>
  <c r="Z66" i="3"/>
  <c r="Y66" i="3"/>
  <c r="X66" i="3"/>
  <c r="AC57" i="3"/>
  <c r="AB57" i="3"/>
  <c r="AA57" i="3"/>
  <c r="Z57" i="3"/>
  <c r="Y57" i="3"/>
  <c r="X57" i="3"/>
  <c r="AC55" i="3"/>
  <c r="AB55" i="3"/>
  <c r="AA55" i="3"/>
  <c r="Z55" i="3"/>
  <c r="Y55" i="3"/>
  <c r="X55" i="3"/>
  <c r="AC53" i="3"/>
  <c r="AB53" i="3"/>
  <c r="AA53" i="3"/>
  <c r="Z53" i="3"/>
  <c r="Y53" i="3"/>
  <c r="X53" i="3"/>
  <c r="AC51" i="3"/>
  <c r="AB51" i="3"/>
  <c r="AA51" i="3"/>
  <c r="Z51" i="3"/>
  <c r="Y51" i="3"/>
  <c r="X51" i="3"/>
  <c r="AC49" i="3"/>
  <c r="AB49" i="3"/>
  <c r="AA49" i="3"/>
  <c r="Z49" i="3"/>
  <c r="Y49" i="3"/>
  <c r="X49" i="3"/>
  <c r="AC39" i="3"/>
  <c r="AB39" i="3"/>
  <c r="AA39" i="3"/>
  <c r="Z39" i="3"/>
  <c r="Y39" i="3"/>
  <c r="X39" i="3"/>
  <c r="AC37" i="3"/>
  <c r="AB37" i="3"/>
  <c r="AA37" i="3"/>
  <c r="Z37" i="3"/>
  <c r="Y37" i="3"/>
  <c r="X37" i="3"/>
  <c r="AC35" i="3"/>
  <c r="AB35" i="3"/>
  <c r="AA35" i="3"/>
  <c r="Z35" i="3"/>
  <c r="Y35" i="3"/>
  <c r="X35" i="3"/>
  <c r="AC33" i="3"/>
  <c r="AB33" i="3"/>
  <c r="AA33" i="3"/>
  <c r="Z33" i="3"/>
  <c r="Y33" i="3"/>
  <c r="X33" i="3"/>
  <c r="AC31" i="3"/>
  <c r="AB31" i="3"/>
  <c r="AA31" i="3"/>
  <c r="Z31" i="3"/>
  <c r="Y31" i="3"/>
  <c r="X31" i="3"/>
  <c r="AC29" i="3"/>
  <c r="AB29" i="3"/>
  <c r="AA29" i="3"/>
  <c r="Z29" i="3"/>
  <c r="Y29" i="3"/>
  <c r="X29" i="3"/>
  <c r="AC27" i="3"/>
  <c r="AB27" i="3"/>
  <c r="AA27" i="3"/>
  <c r="Z27" i="3"/>
  <c r="Y27" i="3"/>
  <c r="X27" i="3"/>
  <c r="AC18" i="3"/>
  <c r="AB18" i="3"/>
  <c r="AA18" i="3"/>
  <c r="Z18" i="3"/>
  <c r="Y18" i="3"/>
  <c r="X18" i="3"/>
  <c r="AC16" i="3"/>
  <c r="AB16" i="3"/>
  <c r="AA16" i="3"/>
  <c r="Z16" i="3"/>
  <c r="Y16" i="3"/>
  <c r="X16" i="3"/>
  <c r="AC14" i="3"/>
  <c r="AB14" i="3"/>
  <c r="AA14" i="3"/>
  <c r="Z14" i="3"/>
  <c r="Y14" i="3"/>
  <c r="X14" i="3"/>
  <c r="AC12" i="3"/>
  <c r="AB12" i="3"/>
  <c r="AA12" i="3"/>
  <c r="Z12" i="3"/>
  <c r="Y12" i="3"/>
  <c r="X12" i="3"/>
  <c r="AC10" i="3"/>
  <c r="AB10" i="3"/>
  <c r="AA10" i="3"/>
  <c r="Z10" i="3"/>
  <c r="Y10" i="3"/>
  <c r="X10" i="3"/>
  <c r="P51" i="3"/>
  <c r="T78" i="3"/>
  <c r="S78" i="3"/>
  <c r="R78" i="3"/>
  <c r="Q78" i="3"/>
  <c r="P78" i="3"/>
  <c r="O78" i="3"/>
  <c r="T76" i="3"/>
  <c r="S76" i="3"/>
  <c r="R76" i="3"/>
  <c r="Q76" i="3"/>
  <c r="P76" i="3"/>
  <c r="O76" i="3"/>
  <c r="T74" i="3"/>
  <c r="S74" i="3"/>
  <c r="R74" i="3"/>
  <c r="Q74" i="3"/>
  <c r="P74" i="3"/>
  <c r="O74" i="3"/>
  <c r="T72" i="3"/>
  <c r="S72" i="3"/>
  <c r="R72" i="3"/>
  <c r="Q72" i="3"/>
  <c r="P72" i="3"/>
  <c r="O72" i="3"/>
  <c r="T70" i="3"/>
  <c r="S70" i="3"/>
  <c r="R70" i="3"/>
  <c r="Q70" i="3"/>
  <c r="P70" i="3"/>
  <c r="O70" i="3"/>
  <c r="T68" i="3"/>
  <c r="S68" i="3"/>
  <c r="R68" i="3"/>
  <c r="Q68" i="3"/>
  <c r="P68" i="3"/>
  <c r="O68" i="3"/>
  <c r="T66" i="3"/>
  <c r="S66" i="3"/>
  <c r="R66" i="3"/>
  <c r="Q66" i="3"/>
  <c r="P66" i="3"/>
  <c r="O66" i="3"/>
  <c r="T57" i="3"/>
  <c r="S57" i="3"/>
  <c r="R57" i="3"/>
  <c r="Q57" i="3"/>
  <c r="P57" i="3"/>
  <c r="O57" i="3"/>
  <c r="T55" i="3"/>
  <c r="S55" i="3"/>
  <c r="R55" i="3"/>
  <c r="Q55" i="3"/>
  <c r="P55" i="3"/>
  <c r="O55" i="3"/>
  <c r="T53" i="3"/>
  <c r="S53" i="3"/>
  <c r="R53" i="3"/>
  <c r="Q53" i="3"/>
  <c r="P53" i="3"/>
  <c r="O53" i="3"/>
  <c r="T51" i="3"/>
  <c r="S51" i="3"/>
  <c r="R51" i="3"/>
  <c r="Q51" i="3"/>
  <c r="O51" i="3"/>
  <c r="T49" i="3"/>
  <c r="S49" i="3"/>
  <c r="R49" i="3"/>
  <c r="Q49" i="3"/>
  <c r="P49" i="3"/>
  <c r="O49" i="3"/>
  <c r="T39" i="3"/>
  <c r="S39" i="3"/>
  <c r="Q39" i="3"/>
  <c r="P39" i="3"/>
  <c r="O39" i="3"/>
  <c r="T37" i="3"/>
  <c r="S37" i="3"/>
  <c r="Q37" i="3"/>
  <c r="P37" i="3"/>
  <c r="O37" i="3"/>
  <c r="T35" i="3"/>
  <c r="S35" i="3"/>
  <c r="Q35" i="3"/>
  <c r="P35" i="3"/>
  <c r="O35" i="3"/>
  <c r="T33" i="3"/>
  <c r="S33" i="3"/>
  <c r="Q33" i="3"/>
  <c r="P33" i="3"/>
  <c r="O33" i="3"/>
  <c r="T31" i="3"/>
  <c r="S31" i="3"/>
  <c r="Q31" i="3"/>
  <c r="P31" i="3"/>
  <c r="O31" i="3"/>
  <c r="T29" i="3"/>
  <c r="S29" i="3"/>
  <c r="Q29" i="3"/>
  <c r="P29" i="3"/>
  <c r="O29" i="3"/>
  <c r="T27" i="3"/>
  <c r="S27" i="3"/>
  <c r="Q27" i="3"/>
  <c r="P27" i="3"/>
  <c r="O27" i="3"/>
  <c r="T18" i="3"/>
  <c r="S18" i="3"/>
  <c r="R18" i="3"/>
  <c r="Q18" i="3"/>
  <c r="P18" i="3"/>
  <c r="O18" i="3"/>
  <c r="T16" i="3"/>
  <c r="S16" i="3"/>
  <c r="R16" i="3"/>
  <c r="Q16" i="3"/>
  <c r="P16" i="3"/>
  <c r="O16" i="3"/>
  <c r="T14" i="3"/>
  <c r="S14" i="3"/>
  <c r="R14" i="3"/>
  <c r="Q14" i="3"/>
  <c r="P14" i="3"/>
  <c r="O14" i="3"/>
  <c r="T12" i="3"/>
  <c r="S12" i="3"/>
  <c r="R12" i="3"/>
  <c r="Q12" i="3"/>
  <c r="P12" i="3"/>
  <c r="O12" i="3"/>
  <c r="T10" i="3"/>
  <c r="S10" i="3"/>
  <c r="R10" i="3"/>
  <c r="Q10" i="3"/>
  <c r="P10" i="3"/>
  <c r="O10" i="3"/>
  <c r="D68" i="3"/>
  <c r="E68" i="3"/>
  <c r="F68" i="3"/>
  <c r="G68" i="3"/>
  <c r="H68" i="3"/>
  <c r="I68" i="3"/>
  <c r="I66" i="3"/>
  <c r="H66" i="3"/>
  <c r="G66" i="3"/>
  <c r="F66" i="3"/>
  <c r="E66" i="3"/>
  <c r="D66" i="3"/>
  <c r="I64" i="3"/>
  <c r="H64" i="3"/>
  <c r="G64" i="3"/>
  <c r="F64" i="3"/>
  <c r="E64" i="3"/>
  <c r="D64" i="3"/>
  <c r="I62" i="3"/>
  <c r="H62" i="3"/>
  <c r="G62" i="3"/>
  <c r="F62" i="3"/>
  <c r="E62" i="3"/>
  <c r="D62" i="3"/>
  <c r="I60" i="3"/>
  <c r="H60" i="3"/>
  <c r="G60" i="3"/>
  <c r="F60" i="3"/>
  <c r="E60" i="3"/>
  <c r="D60" i="3"/>
  <c r="I58" i="3"/>
  <c r="H58" i="3"/>
  <c r="G58" i="3"/>
  <c r="F58" i="3"/>
  <c r="E58" i="3"/>
  <c r="D58" i="3"/>
  <c r="I56" i="3"/>
  <c r="H56" i="3"/>
  <c r="G56" i="3"/>
  <c r="F56" i="3"/>
  <c r="E56" i="3"/>
  <c r="D56" i="3"/>
  <c r="I48" i="3"/>
  <c r="H48" i="3"/>
  <c r="G48" i="3"/>
  <c r="F48" i="3"/>
  <c r="E48" i="3"/>
  <c r="D48" i="3"/>
  <c r="I46" i="3"/>
  <c r="H46" i="3"/>
  <c r="G46" i="3"/>
  <c r="F46" i="3"/>
  <c r="E46" i="3"/>
  <c r="D46" i="3"/>
  <c r="I44" i="3"/>
  <c r="H44" i="3"/>
  <c r="G44" i="3"/>
  <c r="F44" i="3"/>
  <c r="E44" i="3"/>
  <c r="D44" i="3"/>
  <c r="I42" i="3"/>
  <c r="H42" i="3"/>
  <c r="G42" i="3"/>
  <c r="F42" i="3"/>
  <c r="E42" i="3"/>
  <c r="D42" i="3"/>
  <c r="I40" i="3"/>
  <c r="H40" i="3"/>
  <c r="G40" i="3"/>
  <c r="F40" i="3"/>
  <c r="E40" i="3"/>
  <c r="D40" i="3"/>
  <c r="I33" i="3"/>
  <c r="H33" i="3"/>
  <c r="G33" i="3"/>
  <c r="F33" i="3"/>
  <c r="E33" i="3"/>
  <c r="D33" i="3"/>
  <c r="I31" i="3"/>
  <c r="H31" i="3"/>
  <c r="G31" i="3"/>
  <c r="F31" i="3"/>
  <c r="E31" i="3"/>
  <c r="D31" i="3"/>
  <c r="I29" i="3"/>
  <c r="H29" i="3"/>
  <c r="G29" i="3"/>
  <c r="F29" i="3"/>
  <c r="E29" i="3"/>
  <c r="D29" i="3"/>
  <c r="I27" i="3"/>
  <c r="H27" i="3"/>
  <c r="G27" i="3"/>
  <c r="F27" i="3"/>
  <c r="E27" i="3"/>
  <c r="D27" i="3"/>
  <c r="I25" i="3"/>
  <c r="H25" i="3"/>
  <c r="G25" i="3"/>
  <c r="F25" i="3"/>
  <c r="E25" i="3"/>
  <c r="D25" i="3"/>
  <c r="I23" i="3"/>
  <c r="H23" i="3"/>
  <c r="G23" i="3"/>
  <c r="F23" i="3"/>
  <c r="E23" i="3"/>
  <c r="D23" i="3"/>
  <c r="I21" i="3"/>
  <c r="H21" i="3"/>
  <c r="G21" i="3"/>
  <c r="F21" i="3"/>
  <c r="E21" i="3"/>
  <c r="D21" i="3"/>
  <c r="I14" i="3"/>
  <c r="H14" i="3"/>
  <c r="G14" i="3"/>
  <c r="F14" i="3"/>
  <c r="E14" i="3"/>
  <c r="D14" i="3"/>
  <c r="I12" i="3"/>
  <c r="H12" i="3"/>
  <c r="G12" i="3"/>
  <c r="F12" i="3"/>
  <c r="E12" i="3"/>
  <c r="D12" i="3"/>
  <c r="I10" i="3"/>
  <c r="H10" i="3"/>
  <c r="G10" i="3"/>
  <c r="F10" i="3"/>
  <c r="E10" i="3"/>
  <c r="D10" i="3"/>
  <c r="I8" i="3"/>
  <c r="H8" i="3"/>
  <c r="G8" i="3"/>
  <c r="F8" i="3"/>
  <c r="E8" i="3"/>
  <c r="D8" i="3"/>
  <c r="I6" i="3"/>
  <c r="H6" i="3"/>
  <c r="G6" i="3"/>
  <c r="F6" i="3"/>
  <c r="E6" i="3"/>
  <c r="D6" i="3"/>
</calcChain>
</file>

<file path=xl/sharedStrings.xml><?xml version="1.0" encoding="utf-8"?>
<sst xmlns="http://schemas.openxmlformats.org/spreadsheetml/2006/main" count="633" uniqueCount="64">
  <si>
    <t>Fitness</t>
  </si>
  <si>
    <t>Módulo de Elasticidade</t>
  </si>
  <si>
    <t>Coeficiente de Poisson</t>
  </si>
  <si>
    <t>Densidade</t>
  </si>
  <si>
    <t>Rigidez 1</t>
  </si>
  <si>
    <t>Rigidez 2</t>
  </si>
  <si>
    <t>Rigidez 3</t>
  </si>
  <si>
    <t>Rigidez 4</t>
  </si>
  <si>
    <t>Referência</t>
  </si>
  <si>
    <t>Freq, 0%</t>
  </si>
  <si>
    <t>Freq, 5%</t>
  </si>
  <si>
    <t>Freq, 15%</t>
  </si>
  <si>
    <t>Freq, Modo, 0%</t>
  </si>
  <si>
    <t>Freq, Modo, 5%</t>
  </si>
  <si>
    <t>Freq, Modo, 15%</t>
  </si>
  <si>
    <t>Variação</t>
  </si>
  <si>
    <t>Populacao</t>
  </si>
  <si>
    <t>Geracoes</t>
  </si>
  <si>
    <t>Variação Relativa</t>
  </si>
  <si>
    <t>VIGA - TEST3</t>
  </si>
  <si>
    <t>VIGA - TEST</t>
  </si>
  <si>
    <t>PONTE - TEST</t>
  </si>
  <si>
    <t>PONTE - TEST3 - SEM PAIRING MODES</t>
  </si>
  <si>
    <t>TEMPO (h)</t>
  </si>
  <si>
    <t>Freq</t>
  </si>
  <si>
    <t>VIGA - TEST5</t>
  </si>
  <si>
    <t>PONTE - TEST5</t>
  </si>
  <si>
    <t>|1 - Mac|</t>
  </si>
  <si>
    <t>1,34</t>
  </si>
  <si>
    <t>VIGA - TEST6</t>
  </si>
  <si>
    <t>PONTE - TEST6</t>
  </si>
  <si>
    <t>VIGA - TEST7</t>
  </si>
  <si>
    <t>PONTE - TEST7</t>
  </si>
  <si>
    <t>VIGA - TEST8</t>
  </si>
  <si>
    <t>PONTE - TEST8</t>
  </si>
  <si>
    <t>VIGA - Avarage</t>
  </si>
  <si>
    <t>PONTE - Avarage</t>
  </si>
  <si>
    <t>Reference Value</t>
  </si>
  <si>
    <t>Freq,
 5% noise</t>
  </si>
  <si>
    <t>Freq,
 0% noise</t>
  </si>
  <si>
    <t>Freq, 
15% noise</t>
  </si>
  <si>
    <t>Freq, Mode,
 0% noise</t>
  </si>
  <si>
    <t>Freq, Mode,
 5% noise</t>
  </si>
  <si>
    <t>Freq, Mode,
 15% noise</t>
  </si>
  <si>
    <t>Parameter</t>
  </si>
  <si>
    <t>Updated Value</t>
  </si>
  <si>
    <t>Error (%)</t>
  </si>
  <si>
    <t>n</t>
  </si>
  <si>
    <t>Beam - Average optimal results</t>
  </si>
  <si>
    <t>E (Gpa)</t>
  </si>
  <si>
    <t>k1 (N/m)</t>
  </si>
  <si>
    <t>k2 (N/m)</t>
  </si>
  <si>
    <r>
      <t>r (</t>
    </r>
    <r>
      <rPr>
        <b/>
        <sz val="9"/>
        <color theme="1"/>
        <rFont val="Times New Roman"/>
        <family val="1"/>
      </rPr>
      <t>kg/m³)</t>
    </r>
  </si>
  <si>
    <t>Bridge - Average optimal results</t>
  </si>
  <si>
    <t>E (Pa)</t>
  </si>
  <si>
    <t>k3 (N/m)</t>
  </si>
  <si>
    <t>k4 (N/m)</t>
  </si>
  <si>
    <t>Beam - Best fitness</t>
  </si>
  <si>
    <t>Bridge - Best Fitness</t>
  </si>
  <si>
    <t>r (kg/m³)</t>
  </si>
  <si>
    <t>Bridge - Worst Fitness</t>
  </si>
  <si>
    <t>Beam - Worst fitness</t>
  </si>
  <si>
    <r>
      <t xml:space="preserve">r </t>
    </r>
    <r>
      <rPr>
        <b/>
        <sz val="9"/>
        <color theme="1"/>
        <rFont val="Times New Roman"/>
        <family val="1"/>
      </rPr>
      <t>(kg/m³)</t>
    </r>
  </si>
  <si>
    <r>
      <t xml:space="preserve">r </t>
    </r>
    <r>
      <rPr>
        <sz val="9"/>
        <color theme="1"/>
        <rFont val="Times New Roman"/>
        <family val="1"/>
      </rPr>
      <t>(kg/m³)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</si>
</sst>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Symbol"/>
      <family val="1"/>
      <charset val="2"/>
    </font>
    <font>
      <sz val="9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7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9" fontId="0" fillId="0" borderId="0" xfId="1" applyFont="1" applyBorder="1" applyAlignment="1">
      <alignment horizontal="center" vertical="center"/>
    </xf>
    <xf numFmtId="164" fontId="0" fillId="0" borderId="3" xfId="0" quotePrefix="1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1" fontId="0" fillId="2" borderId="0" xfId="0" applyNumberFormat="1" applyFill="1" applyAlignment="1">
      <alignment horizontal="center" vertical="center"/>
    </xf>
    <xf numFmtId="11" fontId="0" fillId="2" borderId="0" xfId="0" quotePrefix="1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0" fontId="0" fillId="2" borderId="5" xfId="1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9" fontId="0" fillId="2" borderId="0" xfId="1" applyFont="1" applyFill="1" applyBorder="1" applyAlignment="1">
      <alignment horizontal="center" vertical="center"/>
    </xf>
    <xf numFmtId="0" fontId="0" fillId="0" borderId="0" xfId="0" quotePrefix="1"/>
    <xf numFmtId="164" fontId="0" fillId="3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6" xfId="0" applyBorder="1"/>
    <xf numFmtId="0" fontId="0" fillId="0" borderId="6" xfId="0" quotePrefix="1" applyBorder="1"/>
    <xf numFmtId="164" fontId="0" fillId="0" borderId="0" xfId="0" applyNumberFormat="1"/>
    <xf numFmtId="0" fontId="0" fillId="2" borderId="0" xfId="1" applyNumberFormat="1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3" borderId="0" xfId="0" quotePrefix="1" applyNumberFormat="1" applyFill="1" applyAlignment="1">
      <alignment horizontal="center" vertical="center"/>
    </xf>
    <xf numFmtId="2" fontId="0" fillId="3" borderId="3" xfId="0" applyNumberForma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3" borderId="0" xfId="0" applyNumberFormat="1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3" borderId="0" xfId="0" quotePrefix="1" applyNumberFormat="1" applyFont="1" applyFill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quotePrefix="1" applyNumberFormat="1" applyFont="1" applyAlignment="1">
      <alignment horizontal="center" vertical="center"/>
    </xf>
    <xf numFmtId="0" fontId="5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1" fontId="5" fillId="0" borderId="2" xfId="0" applyNumberFormat="1" applyFont="1" applyBorder="1" applyAlignment="1">
      <alignment horizontal="center" vertical="center"/>
    </xf>
    <xf numFmtId="9" fontId="5" fillId="0" borderId="0" xfId="1" applyFont="1" applyFill="1" applyAlignment="1">
      <alignment horizontal="center" vertical="center"/>
    </xf>
    <xf numFmtId="9" fontId="5" fillId="0" borderId="2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F983-5F0F-42C4-BA80-335571853FB7}">
  <dimension ref="B2:O74"/>
  <sheetViews>
    <sheetView showGridLines="0" tabSelected="1" topLeftCell="F47" workbookViewId="0">
      <selection activeCell="L67" sqref="L67:M67"/>
    </sheetView>
  </sheetViews>
  <sheetFormatPr defaultRowHeight="14.25" x14ac:dyDescent="0.45"/>
  <cols>
    <col min="2" max="2" width="7.46484375" customWidth="1"/>
    <col min="3" max="3" width="7.33203125" customWidth="1"/>
    <col min="4" max="4" width="7.46484375" customWidth="1"/>
    <col min="5" max="5" width="9.9296875" customWidth="1"/>
    <col min="6" max="6" width="7" customWidth="1"/>
    <col min="7" max="7" width="7.1328125" customWidth="1"/>
    <col min="8" max="8" width="7.19921875" customWidth="1"/>
    <col min="9" max="9" width="6.9296875" customWidth="1"/>
    <col min="10" max="10" width="7.06640625" customWidth="1"/>
    <col min="11" max="11" width="6.9296875" customWidth="1"/>
    <col min="12" max="12" width="7.33203125" customWidth="1"/>
    <col min="13" max="13" width="7" customWidth="1"/>
    <col min="14" max="14" width="7.1328125" customWidth="1"/>
    <col min="15" max="15" width="7.46484375" customWidth="1"/>
  </cols>
  <sheetData>
    <row r="2" spans="2:15" ht="14.65" thickBot="1" x14ac:dyDescent="0.5"/>
    <row r="3" spans="2:15" ht="15" thickTop="1" thickBot="1" x14ac:dyDescent="0.5">
      <c r="B3" s="59" t="s">
        <v>48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</row>
    <row r="4" spans="2:15" ht="26.25" customHeight="1" thickTop="1" x14ac:dyDescent="0.45">
      <c r="B4" s="60" t="s">
        <v>44</v>
      </c>
      <c r="C4" s="62" t="s">
        <v>37</v>
      </c>
      <c r="D4" s="64" t="s">
        <v>39</v>
      </c>
      <c r="E4" s="64"/>
      <c r="F4" s="64" t="s">
        <v>38</v>
      </c>
      <c r="G4" s="64"/>
      <c r="H4" s="64" t="s">
        <v>40</v>
      </c>
      <c r="I4" s="64"/>
      <c r="J4" s="64" t="s">
        <v>41</v>
      </c>
      <c r="K4" s="64"/>
      <c r="L4" s="64" t="s">
        <v>42</v>
      </c>
      <c r="M4" s="64"/>
      <c r="N4" s="64" t="s">
        <v>43</v>
      </c>
      <c r="O4" s="64"/>
    </row>
    <row r="5" spans="2:15" ht="23.25" x14ac:dyDescent="0.45">
      <c r="B5" s="61"/>
      <c r="C5" s="63"/>
      <c r="D5" s="57" t="s">
        <v>45</v>
      </c>
      <c r="E5" s="57" t="s">
        <v>46</v>
      </c>
      <c r="F5" s="57" t="s">
        <v>45</v>
      </c>
      <c r="G5" s="57" t="s">
        <v>46</v>
      </c>
      <c r="H5" s="57" t="s">
        <v>45</v>
      </c>
      <c r="I5" s="57" t="s">
        <v>46</v>
      </c>
      <c r="J5" s="57" t="s">
        <v>45</v>
      </c>
      <c r="K5" s="57" t="s">
        <v>46</v>
      </c>
      <c r="L5" s="57" t="s">
        <v>45</v>
      </c>
      <c r="M5" s="57" t="s">
        <v>46</v>
      </c>
      <c r="N5" s="57" t="s">
        <v>45</v>
      </c>
      <c r="O5" s="57" t="s">
        <v>46</v>
      </c>
    </row>
    <row r="6" spans="2:15" x14ac:dyDescent="0.45">
      <c r="B6" s="48" t="s">
        <v>54</v>
      </c>
      <c r="C6" s="49">
        <v>23000000000</v>
      </c>
      <c r="D6" s="49">
        <v>23507219671.970772</v>
      </c>
      <c r="E6" s="53">
        <f>ABS(D6-$C$6)/$C$6</f>
        <v>2.2053029216120512E-2</v>
      </c>
      <c r="F6" s="49">
        <v>22851377843</v>
      </c>
      <c r="G6" s="53">
        <f>ABS(F6-$C$6)/$C$6</f>
        <v>6.4618329130434783E-3</v>
      </c>
      <c r="H6" s="49">
        <v>22505642645.25</v>
      </c>
      <c r="I6" s="53">
        <f>ABS(H6-$C$6)/$C$6</f>
        <v>2.1493798032608695E-2</v>
      </c>
      <c r="J6" s="49">
        <v>23630978670.25</v>
      </c>
      <c r="K6" s="53">
        <f>ABS(J6-$C$6)/$C$6</f>
        <v>2.7433855228260869E-2</v>
      </c>
      <c r="L6" s="49">
        <v>23067962508</v>
      </c>
      <c r="M6" s="53">
        <f>ABS(L6-$C$6)/$C$6</f>
        <v>2.9548916521739133E-3</v>
      </c>
      <c r="N6" s="49">
        <v>22019361053.5</v>
      </c>
      <c r="O6" s="53">
        <f>ABS(N6-$C$6)/$C$6</f>
        <v>4.2636475934782606E-2</v>
      </c>
    </row>
    <row r="7" spans="2:15" x14ac:dyDescent="0.45">
      <c r="B7" s="50" t="s">
        <v>47</v>
      </c>
      <c r="C7" s="51">
        <v>0.2</v>
      </c>
      <c r="D7" s="41">
        <v>0.22341105000000003</v>
      </c>
      <c r="E7" s="53">
        <f>ABS(D7-$C$7)/$C$7</f>
        <v>0.11705525000000008</v>
      </c>
      <c r="F7" s="41">
        <v>0.15302740000000001</v>
      </c>
      <c r="G7" s="53">
        <f>ABS(F7-$C$7)/$C$7</f>
        <v>0.23486300000000002</v>
      </c>
      <c r="H7" s="41">
        <v>0.44901490999999999</v>
      </c>
      <c r="I7" s="53">
        <f>ABS(H7-$C$7)/$C$7</f>
        <v>1.2450745499999998</v>
      </c>
      <c r="J7" s="41">
        <v>0.22188005999999999</v>
      </c>
      <c r="K7" s="53">
        <f>ABS(J7-$C$7)/$C$7</f>
        <v>0.10940029999999989</v>
      </c>
      <c r="L7" s="41">
        <v>0.23858159750000002</v>
      </c>
      <c r="M7" s="53">
        <f>ABS(L7-$C$7)/$C$7</f>
        <v>0.19290798750000004</v>
      </c>
      <c r="N7" s="41">
        <v>0.38170453499999996</v>
      </c>
      <c r="O7" s="53">
        <f>ABS(N7-$C$7)/$C$7</f>
        <v>0.90852267499999972</v>
      </c>
    </row>
    <row r="8" spans="2:15" x14ac:dyDescent="0.45">
      <c r="B8" s="50" t="s">
        <v>62</v>
      </c>
      <c r="C8" s="41">
        <v>2500</v>
      </c>
      <c r="D8" s="41">
        <v>2542.4991662749999</v>
      </c>
      <c r="E8" s="53">
        <f>ABS(D8-$C$8)/$C$8</f>
        <v>1.6999666509999952E-2</v>
      </c>
      <c r="F8" s="49">
        <v>2542.1136514999998</v>
      </c>
      <c r="G8" s="53">
        <f>ABS(F8-$C$8)/$C$8</f>
        <v>1.6845460599999935E-2</v>
      </c>
      <c r="H8" s="41">
        <v>2518.4542150000002</v>
      </c>
      <c r="I8" s="53">
        <f>ABS(H8-$C$8)/$C$8</f>
        <v>7.3816860000000817E-3</v>
      </c>
      <c r="J8" s="49">
        <v>2558.7703092500001</v>
      </c>
      <c r="K8" s="53">
        <f>ABS(J8-$C$8)/$C$8</f>
        <v>2.3508123700000032E-2</v>
      </c>
      <c r="L8" s="41">
        <v>2504.35520275</v>
      </c>
      <c r="M8" s="53">
        <f>ABS(L8-$C$8)/$C$8</f>
        <v>1.7420810999999958E-3</v>
      </c>
      <c r="N8" s="49">
        <v>2505.4334847499999</v>
      </c>
      <c r="O8" s="53">
        <f>ABS(N8-$C$8)/$C$8</f>
        <v>2.1733938999999734E-3</v>
      </c>
    </row>
    <row r="9" spans="2:15" x14ac:dyDescent="0.45">
      <c r="B9" s="48" t="s">
        <v>50</v>
      </c>
      <c r="C9" s="49">
        <v>10000000</v>
      </c>
      <c r="D9" s="49">
        <v>10001821.115979668</v>
      </c>
      <c r="E9" s="53">
        <f>ABS(D9-$C$9)/$C$9</f>
        <v>1.8211159796677529E-4</v>
      </c>
      <c r="F9" s="49">
        <v>11038533.949749999</v>
      </c>
      <c r="G9" s="53">
        <f>ABS(F9-$C$9)/$C$9</f>
        <v>0.10385339497499987</v>
      </c>
      <c r="H9" s="49">
        <v>10009944.442249998</v>
      </c>
      <c r="I9" s="53">
        <f>ABS(H9-$C$9)/$C$9</f>
        <v>9.9444422499984507E-4</v>
      </c>
      <c r="J9" s="49">
        <v>10082415.437750001</v>
      </c>
      <c r="K9" s="53">
        <f>ABS(J9-$C$9)/$C$9</f>
        <v>8.2415437750000507E-3</v>
      </c>
      <c r="L9" s="49">
        <v>10355064.83</v>
      </c>
      <c r="M9" s="53">
        <f>ABS(L9-$C$9)/$C$9</f>
        <v>3.5506483000000005E-2</v>
      </c>
      <c r="N9" s="49">
        <v>8681039.8512500003</v>
      </c>
      <c r="O9" s="53">
        <f>ABS(N9-$C$9)/$C$9</f>
        <v>0.13189601487499997</v>
      </c>
    </row>
    <row r="10" spans="2:15" x14ac:dyDescent="0.45">
      <c r="B10" s="47" t="s">
        <v>51</v>
      </c>
      <c r="C10" s="52">
        <v>15000000</v>
      </c>
      <c r="D10" s="52">
        <v>15432306.960511575</v>
      </c>
      <c r="E10" s="53">
        <f>ABS(D10-$C$10)/$C$10</f>
        <v>2.8820464034104969E-2</v>
      </c>
      <c r="F10" s="52">
        <v>14877901.75</v>
      </c>
      <c r="G10" s="53">
        <f>ABS(F10-$C$10)/$C$10</f>
        <v>8.1398833333333337E-3</v>
      </c>
      <c r="H10" s="52">
        <v>16982652.800000001</v>
      </c>
      <c r="I10" s="53">
        <f>ABS(H10-$C$10)/$C$10</f>
        <v>0.13217685333333337</v>
      </c>
      <c r="J10" s="52">
        <v>15625185.6175</v>
      </c>
      <c r="K10" s="53">
        <f>ABS(J10-$C$10)/$C$10</f>
        <v>4.1679041166666646E-2</v>
      </c>
      <c r="L10" s="52">
        <v>14808374.287500001</v>
      </c>
      <c r="M10" s="53">
        <f>ABS(L10-$C$10)/$C$10</f>
        <v>1.27750474999999E-2</v>
      </c>
      <c r="N10" s="52">
        <v>16730350.627500001</v>
      </c>
      <c r="O10" s="53">
        <f>ABS(N10-$C$10)/$C$10</f>
        <v>0.11535670850000009</v>
      </c>
    </row>
    <row r="11" spans="2:15" x14ac:dyDescent="0.45">
      <c r="B11" s="55" t="s">
        <v>0</v>
      </c>
      <c r="C11" s="56"/>
      <c r="D11" s="58">
        <v>1.9866605000000002E-2</v>
      </c>
      <c r="E11" s="58"/>
      <c r="F11" s="58">
        <v>0.18960470200000001</v>
      </c>
      <c r="G11" s="58"/>
      <c r="H11" s="58">
        <v>0.49940474899999998</v>
      </c>
      <c r="I11" s="58"/>
      <c r="J11" s="58">
        <v>1.7828424250000002E-2</v>
      </c>
      <c r="K11" s="58"/>
      <c r="L11" s="58">
        <v>0.19627977099999999</v>
      </c>
      <c r="M11" s="58"/>
      <c r="N11" s="58">
        <v>0.63135575575000003</v>
      </c>
      <c r="O11" s="58"/>
    </row>
    <row r="12" spans="2:15" x14ac:dyDescent="0.45">
      <c r="B12" s="38"/>
      <c r="C12" s="41"/>
      <c r="D12" s="41"/>
      <c r="E12" s="42"/>
      <c r="F12" s="42"/>
      <c r="G12" s="43"/>
      <c r="H12" s="43"/>
      <c r="I12" s="42"/>
      <c r="J12" s="42"/>
      <c r="K12" s="39"/>
      <c r="L12" s="39"/>
      <c r="M12" s="39"/>
      <c r="N12" s="39"/>
      <c r="O12" s="40"/>
    </row>
    <row r="13" spans="2:15" x14ac:dyDescent="0.45">
      <c r="B13" s="38"/>
      <c r="C13" s="41"/>
      <c r="D13" s="41"/>
      <c r="E13" s="44">
        <v>10000000</v>
      </c>
      <c r="F13" s="44"/>
      <c r="G13" s="45"/>
      <c r="H13" s="45"/>
      <c r="I13" s="44"/>
      <c r="J13" s="44"/>
      <c r="K13" s="40"/>
      <c r="L13" s="40"/>
      <c r="M13" s="40"/>
      <c r="N13" s="40"/>
      <c r="O13" s="40"/>
    </row>
    <row r="14" spans="2:15" ht="14.65" thickBot="1" x14ac:dyDescent="0.5"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</row>
    <row r="15" spans="2:15" ht="15" thickTop="1" thickBot="1" x14ac:dyDescent="0.5">
      <c r="B15" s="59" t="s">
        <v>53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</row>
    <row r="16" spans="2:15" ht="25.5" customHeight="1" thickTop="1" x14ac:dyDescent="0.45">
      <c r="B16" s="69" t="s">
        <v>44</v>
      </c>
      <c r="C16" s="62" t="s">
        <v>37</v>
      </c>
      <c r="D16" s="64" t="s">
        <v>39</v>
      </c>
      <c r="E16" s="64"/>
      <c r="F16" s="64" t="s">
        <v>38</v>
      </c>
      <c r="G16" s="64"/>
      <c r="H16" s="64" t="s">
        <v>40</v>
      </c>
      <c r="I16" s="64"/>
      <c r="J16" s="64" t="s">
        <v>41</v>
      </c>
      <c r="K16" s="64"/>
      <c r="L16" s="64" t="s">
        <v>42</v>
      </c>
      <c r="M16" s="64"/>
      <c r="N16" s="64" t="s">
        <v>43</v>
      </c>
      <c r="O16" s="64"/>
    </row>
    <row r="17" spans="2:15" ht="23.25" x14ac:dyDescent="0.45">
      <c r="B17" s="70"/>
      <c r="C17" s="63"/>
      <c r="D17" s="57" t="s">
        <v>45</v>
      </c>
      <c r="E17" s="57" t="s">
        <v>46</v>
      </c>
      <c r="F17" s="57" t="s">
        <v>45</v>
      </c>
      <c r="G17" s="57" t="s">
        <v>46</v>
      </c>
      <c r="H17" s="57" t="s">
        <v>45</v>
      </c>
      <c r="I17" s="57" t="s">
        <v>46</v>
      </c>
      <c r="J17" s="57" t="s">
        <v>45</v>
      </c>
      <c r="K17" s="57" t="s">
        <v>46</v>
      </c>
      <c r="L17" s="57" t="s">
        <v>45</v>
      </c>
      <c r="M17" s="57" t="s">
        <v>46</v>
      </c>
      <c r="N17" s="57" t="s">
        <v>45</v>
      </c>
      <c r="O17" s="57" t="s">
        <v>46</v>
      </c>
    </row>
    <row r="18" spans="2:15" x14ac:dyDescent="0.45">
      <c r="B18" s="38" t="s">
        <v>49</v>
      </c>
      <c r="C18" s="49">
        <v>23000000000</v>
      </c>
      <c r="D18" s="49">
        <v>24000841046.5</v>
      </c>
      <c r="E18" s="53">
        <f>ABS(D18-$C$6)/$C$6</f>
        <v>4.3514828108695655E-2</v>
      </c>
      <c r="F18" s="49">
        <v>23189623356.5</v>
      </c>
      <c r="G18" s="53">
        <v>8.2444937608695656E-3</v>
      </c>
      <c r="H18" s="49">
        <v>22880033234</v>
      </c>
      <c r="I18" s="53">
        <v>5.2159463478260873E-3</v>
      </c>
      <c r="J18" s="49">
        <v>24065462063.25</v>
      </c>
      <c r="K18" s="53">
        <v>4.6324437532608696E-2</v>
      </c>
      <c r="L18" s="49">
        <v>23494045537.75</v>
      </c>
      <c r="M18" s="53">
        <v>2.1480240771739132E-2</v>
      </c>
      <c r="N18" s="49">
        <v>23266427455.5</v>
      </c>
      <c r="O18" s="53">
        <v>1.1583802413043479E-2</v>
      </c>
    </row>
    <row r="19" spans="2:15" x14ac:dyDescent="0.45">
      <c r="B19" s="71" t="s">
        <v>47</v>
      </c>
      <c r="C19" s="51">
        <v>0.2</v>
      </c>
      <c r="D19" s="41">
        <v>0.17098029000000001</v>
      </c>
      <c r="E19" s="53">
        <f>ABS(D19-$C$7)/$C$7</f>
        <v>0.14509855000000002</v>
      </c>
      <c r="F19" s="41">
        <v>0.14892119749999999</v>
      </c>
      <c r="G19" s="53">
        <v>0.2553940125000001</v>
      </c>
      <c r="H19" s="41">
        <v>0.251444995</v>
      </c>
      <c r="I19" s="53">
        <v>0.25722497499999997</v>
      </c>
      <c r="J19" s="41">
        <v>0.124611655</v>
      </c>
      <c r="K19" s="53">
        <v>0.37694172500000001</v>
      </c>
      <c r="L19" s="41">
        <v>0.11537019999999999</v>
      </c>
      <c r="M19" s="53">
        <v>0.42314900000000005</v>
      </c>
      <c r="N19" s="41">
        <v>0.11896488500000001</v>
      </c>
      <c r="O19" s="53">
        <v>0.40517557500000001</v>
      </c>
    </row>
    <row r="20" spans="2:15" x14ac:dyDescent="0.45">
      <c r="B20" s="71" t="s">
        <v>63</v>
      </c>
      <c r="C20" s="41">
        <v>2500</v>
      </c>
      <c r="D20" s="41">
        <v>2545.9001257499999</v>
      </c>
      <c r="E20" s="53">
        <f>ABS(D20-$C$8)/$C$8</f>
        <v>1.8360050299999965E-2</v>
      </c>
      <c r="F20" s="49">
        <v>2507.9648849999999</v>
      </c>
      <c r="G20" s="53">
        <v>3.185953999999947E-3</v>
      </c>
      <c r="H20" s="41">
        <v>2545.2702995</v>
      </c>
      <c r="I20" s="53">
        <v>1.8108119799999985E-2</v>
      </c>
      <c r="J20" s="49">
        <v>2577.12696125</v>
      </c>
      <c r="K20" s="53">
        <v>3.0850784500000009E-2</v>
      </c>
      <c r="L20" s="41">
        <v>2509.5619397500004</v>
      </c>
      <c r="M20" s="53">
        <v>3.824775900000168E-3</v>
      </c>
      <c r="N20" s="49">
        <v>2576.0098429999998</v>
      </c>
      <c r="O20" s="53">
        <v>3.0403937199999929E-2</v>
      </c>
    </row>
    <row r="21" spans="2:15" x14ac:dyDescent="0.45">
      <c r="B21" s="38" t="s">
        <v>50</v>
      </c>
      <c r="C21" s="49">
        <v>10000000</v>
      </c>
      <c r="D21" s="49">
        <v>5898049.7185000004</v>
      </c>
      <c r="E21" s="53">
        <f>ABS(D21-$C$9)/$C$9</f>
        <v>0.41019502814999997</v>
      </c>
      <c r="F21" s="49">
        <v>8931678.8735000007</v>
      </c>
      <c r="G21" s="53">
        <v>0.10683211264999994</v>
      </c>
      <c r="H21" s="49">
        <v>7285528.1270000003</v>
      </c>
      <c r="I21" s="53">
        <v>0.27144718729999995</v>
      </c>
      <c r="J21" s="49">
        <v>8857264.7157500014</v>
      </c>
      <c r="K21" s="53">
        <v>0.11427352842499987</v>
      </c>
      <c r="L21" s="49">
        <v>5662186.6705</v>
      </c>
      <c r="M21" s="53">
        <v>0.43378133294999999</v>
      </c>
      <c r="N21" s="49">
        <v>8636358.9294999987</v>
      </c>
      <c r="O21" s="53">
        <v>0.13636410705000013</v>
      </c>
    </row>
    <row r="22" spans="2:15" x14ac:dyDescent="0.45">
      <c r="B22" s="38" t="s">
        <v>51</v>
      </c>
      <c r="C22" s="49">
        <v>15000000</v>
      </c>
      <c r="D22" s="49">
        <v>21835788.184999999</v>
      </c>
      <c r="E22" s="53">
        <f>ABS(D22-$C$10)/$C$10</f>
        <v>0.45571921233333323</v>
      </c>
      <c r="F22" s="49">
        <v>16443755.2425</v>
      </c>
      <c r="G22" s="53">
        <v>0.64437552425</v>
      </c>
      <c r="H22" s="49">
        <v>15188678.297499999</v>
      </c>
      <c r="I22" s="53">
        <v>0.5188678297499999</v>
      </c>
      <c r="J22" s="49">
        <v>16609150.550000001</v>
      </c>
      <c r="K22" s="53">
        <v>0.66091505500000003</v>
      </c>
      <c r="L22" s="49">
        <v>31506800.550000001</v>
      </c>
      <c r="M22" s="53">
        <v>2.150680055</v>
      </c>
      <c r="N22" s="49">
        <v>21928761.045000002</v>
      </c>
      <c r="O22" s="53">
        <v>1.1928761045000003</v>
      </c>
    </row>
    <row r="23" spans="2:15" x14ac:dyDescent="0.45">
      <c r="B23" s="38" t="s">
        <v>55</v>
      </c>
      <c r="C23" s="49">
        <v>18000000</v>
      </c>
      <c r="D23" s="49">
        <v>29039290.909249999</v>
      </c>
      <c r="E23" s="53">
        <f t="shared" ref="E23:E24" si="0">ABS(D23-$C$10)/$C$10</f>
        <v>0.93595272728333323</v>
      </c>
      <c r="F23" s="49">
        <v>23864876.77</v>
      </c>
      <c r="G23" s="53">
        <v>1.3864876769999999</v>
      </c>
      <c r="H23" s="49">
        <v>27156706.712499999</v>
      </c>
      <c r="I23" s="53">
        <v>1.7156706712499998</v>
      </c>
      <c r="J23" s="49">
        <v>19353251.734999999</v>
      </c>
      <c r="K23" s="53">
        <v>0.9353251735</v>
      </c>
      <c r="L23" s="49">
        <v>32414708.390000001</v>
      </c>
      <c r="M23" s="53">
        <v>2.2414708390000002</v>
      </c>
      <c r="N23" s="49">
        <v>27042190.192500003</v>
      </c>
      <c r="O23" s="53">
        <v>1.7042190192500002</v>
      </c>
    </row>
    <row r="24" spans="2:15" x14ac:dyDescent="0.45">
      <c r="B24" s="72" t="s">
        <v>56</v>
      </c>
      <c r="C24" s="52">
        <v>13000000</v>
      </c>
      <c r="D24" s="52">
        <v>21700205.265000001</v>
      </c>
      <c r="E24" s="53">
        <f t="shared" si="0"/>
        <v>0.44668035100000003</v>
      </c>
      <c r="F24" s="52">
        <v>15672617.755000001</v>
      </c>
      <c r="G24" s="54">
        <v>4.4841183666666722E-2</v>
      </c>
      <c r="H24" s="52">
        <v>19276190.7575</v>
      </c>
      <c r="I24" s="54">
        <v>0.28507938383333337</v>
      </c>
      <c r="J24" s="52">
        <v>15589093.525</v>
      </c>
      <c r="K24" s="54">
        <v>3.9272901666666693E-2</v>
      </c>
      <c r="L24" s="52">
        <v>21222495.489749998</v>
      </c>
      <c r="M24" s="54">
        <v>0.41483303264999988</v>
      </c>
      <c r="N24" s="52">
        <v>27144295.705000002</v>
      </c>
      <c r="O24" s="54">
        <v>0.80961971366666674</v>
      </c>
    </row>
    <row r="25" spans="2:15" x14ac:dyDescent="0.45">
      <c r="B25" s="73" t="s">
        <v>0</v>
      </c>
      <c r="C25" s="56"/>
      <c r="D25" s="58">
        <v>0.58388845950000001</v>
      </c>
      <c r="E25" s="58"/>
      <c r="F25" s="58">
        <v>0.53412508650000001</v>
      </c>
      <c r="G25" s="58"/>
      <c r="H25" s="58">
        <v>1.4756661822499999</v>
      </c>
      <c r="I25" s="58"/>
      <c r="J25" s="58">
        <v>0.24221126074999999</v>
      </c>
      <c r="K25" s="58"/>
      <c r="L25" s="58">
        <v>2.1996083390000001</v>
      </c>
      <c r="M25" s="58"/>
      <c r="N25" s="58">
        <v>2.6720338405000001</v>
      </c>
      <c r="O25" s="58"/>
    </row>
    <row r="29" spans="2:15" ht="14.65" thickBot="1" x14ac:dyDescent="0.5"/>
    <row r="30" spans="2:15" ht="15" thickTop="1" thickBot="1" x14ac:dyDescent="0.5">
      <c r="B30" s="59" t="s">
        <v>57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</row>
    <row r="31" spans="2:15" ht="24.4" customHeight="1" thickTop="1" x14ac:dyDescent="0.45">
      <c r="B31" s="60" t="s">
        <v>44</v>
      </c>
      <c r="C31" s="62" t="s">
        <v>37</v>
      </c>
      <c r="D31" s="64" t="s">
        <v>39</v>
      </c>
      <c r="E31" s="64"/>
      <c r="F31" s="64" t="s">
        <v>38</v>
      </c>
      <c r="G31" s="64"/>
      <c r="H31" s="64" t="s">
        <v>40</v>
      </c>
      <c r="I31" s="64"/>
      <c r="J31" s="64" t="s">
        <v>41</v>
      </c>
      <c r="K31" s="64"/>
      <c r="L31" s="64" t="s">
        <v>42</v>
      </c>
      <c r="M31" s="64"/>
      <c r="N31" s="64" t="s">
        <v>43</v>
      </c>
      <c r="O31" s="64"/>
    </row>
    <row r="32" spans="2:15" ht="23.25" x14ac:dyDescent="0.45">
      <c r="B32" s="61"/>
      <c r="C32" s="63"/>
      <c r="D32" s="57" t="s">
        <v>45</v>
      </c>
      <c r="E32" s="57" t="s">
        <v>46</v>
      </c>
      <c r="F32" s="57" t="s">
        <v>45</v>
      </c>
      <c r="G32" s="57" t="s">
        <v>46</v>
      </c>
      <c r="H32" s="57" t="s">
        <v>45</v>
      </c>
      <c r="I32" s="57" t="s">
        <v>46</v>
      </c>
      <c r="J32" s="57" t="s">
        <v>45</v>
      </c>
      <c r="K32" s="57" t="s">
        <v>46</v>
      </c>
      <c r="L32" s="57" t="s">
        <v>45</v>
      </c>
      <c r="M32" s="57" t="s">
        <v>46</v>
      </c>
      <c r="N32" s="57" t="s">
        <v>45</v>
      </c>
      <c r="O32" s="57" t="s">
        <v>46</v>
      </c>
    </row>
    <row r="33" spans="2:15" x14ac:dyDescent="0.45">
      <c r="B33" s="48" t="s">
        <v>54</v>
      </c>
      <c r="C33" s="49">
        <v>23000000000</v>
      </c>
      <c r="D33" s="49">
        <v>23413474968</v>
      </c>
      <c r="E33" s="53">
        <f>ABS(23000000000-D33)/(23000000000)</f>
        <v>1.7977172521739131E-2</v>
      </c>
      <c r="F33" s="49">
        <v>23641868559</v>
      </c>
      <c r="G33" s="53">
        <f>ABS(23000000000-F33)/(23000000000)</f>
        <v>2.7907328652173914E-2</v>
      </c>
      <c r="H33" s="49">
        <v>20498624586</v>
      </c>
      <c r="I33" s="53">
        <f>ABS(23000000000-H33)/(23000000000)</f>
        <v>0.1087554527826087</v>
      </c>
      <c r="J33" s="49">
        <v>23581047801</v>
      </c>
      <c r="K33" s="53">
        <f>ABS(23000000000-J33)/(23000000000)</f>
        <v>2.5262947869565216E-2</v>
      </c>
      <c r="L33" s="49">
        <v>23951063125</v>
      </c>
      <c r="M33" s="53">
        <f>ABS(23000000000-L33)/(23000000000)</f>
        <v>4.1350570652173915E-2</v>
      </c>
      <c r="N33" s="49">
        <v>20514586616</v>
      </c>
      <c r="O33" s="53">
        <f>ABS(23000000000-N33)/(23000000000)</f>
        <v>0.10806145147826086</v>
      </c>
    </row>
    <row r="34" spans="2:15" x14ac:dyDescent="0.45">
      <c r="B34" s="50" t="s">
        <v>47</v>
      </c>
      <c r="C34" s="51">
        <v>0.2</v>
      </c>
      <c r="D34" s="41">
        <v>0.18642115000000001</v>
      </c>
      <c r="E34" s="53">
        <f>ABS(0.2-D34)/(0.2)</f>
        <v>6.7894250000000017E-2</v>
      </c>
      <c r="F34" s="41">
        <v>0.22278994999999999</v>
      </c>
      <c r="G34" s="53">
        <f>ABS(0.2-F34)/(0.2)</f>
        <v>0.11394974999999988</v>
      </c>
      <c r="H34" s="41">
        <v>0.42970615000000001</v>
      </c>
      <c r="I34" s="53">
        <f>ABS(0.2-H34)/(0.2)</f>
        <v>1.1485307499999999</v>
      </c>
      <c r="J34" s="41">
        <v>0.22766955</v>
      </c>
      <c r="K34" s="53">
        <f>ABS(0.2-J34)/(0.2)</f>
        <v>0.13834774999999994</v>
      </c>
      <c r="L34" s="41">
        <v>0.32844739000000001</v>
      </c>
      <c r="M34" s="53">
        <f>ABS(0.2-L34)/(0.2)</f>
        <v>0.64223694999999992</v>
      </c>
      <c r="N34" s="41">
        <v>0.43694159999999999</v>
      </c>
      <c r="O34" s="53">
        <f>ABS(0.2-N34)/(0.2)</f>
        <v>1.1847079999999999</v>
      </c>
    </row>
    <row r="35" spans="2:15" x14ac:dyDescent="0.45">
      <c r="B35" s="50" t="s">
        <v>62</v>
      </c>
      <c r="C35" s="41">
        <v>2500</v>
      </c>
      <c r="D35" s="41">
        <v>2554.5067399999998</v>
      </c>
      <c r="E35" s="53">
        <f>ABS(2500-D35)/(2500)</f>
        <v>2.1802695999999924E-2</v>
      </c>
      <c r="F35" s="49">
        <v>2556.476279</v>
      </c>
      <c r="G35" s="53">
        <f>ABS(2500-F35)/(2500)</f>
        <v>2.2590511599999991E-2</v>
      </c>
      <c r="H35" s="41">
        <v>2564.6211520000002</v>
      </c>
      <c r="I35" s="53">
        <f>ABS(2500-H35)/(2500)</f>
        <v>2.5848460800000066E-2</v>
      </c>
      <c r="J35" s="49">
        <v>2545.3240000000001</v>
      </c>
      <c r="K35" s="53">
        <f>ABS(2500-J35)/(2500)</f>
        <v>1.8129600000000027E-2</v>
      </c>
      <c r="L35" s="41">
        <v>2489.3234980000002</v>
      </c>
      <c r="M35" s="53">
        <f>ABS(2500-L35)/(2500)</f>
        <v>4.2706007999999199E-3</v>
      </c>
      <c r="N35" s="49">
        <v>2535.9325220000001</v>
      </c>
      <c r="O35" s="53">
        <f>ABS(2500-N35)/(2500)</f>
        <v>1.4373008800000026E-2</v>
      </c>
    </row>
    <row r="36" spans="2:15" x14ac:dyDescent="0.45">
      <c r="B36" s="48" t="s">
        <v>50</v>
      </c>
      <c r="C36" s="49">
        <v>10000000</v>
      </c>
      <c r="D36" s="49">
        <v>9938867.6290000007</v>
      </c>
      <c r="E36" s="53">
        <f>ABS(10000000-D36)/(10000000)</f>
        <v>6.1132370999999342E-3</v>
      </c>
      <c r="F36" s="49">
        <v>11244272.91</v>
      </c>
      <c r="G36" s="53">
        <f>ABS(10000000-F36)/(10000000)</f>
        <v>0.12442729100000001</v>
      </c>
      <c r="H36" s="49">
        <v>10913799.279999999</v>
      </c>
      <c r="I36" s="53">
        <f>ABS(10000000-H36)/(10000000)</f>
        <v>9.137992799999993E-2</v>
      </c>
      <c r="J36" s="49">
        <v>9533151.7510000002</v>
      </c>
      <c r="K36" s="53">
        <f>ABS(10000000-J36)/(10000000)</f>
        <v>4.6684824899999984E-2</v>
      </c>
      <c r="L36" s="49">
        <v>10804895.07</v>
      </c>
      <c r="M36" s="53">
        <f>ABS(10000000-L36)/(10000000)</f>
        <v>8.048950700000003E-2</v>
      </c>
      <c r="N36" s="49">
        <v>6298382.2400000002</v>
      </c>
      <c r="O36" s="53">
        <f>ABS(10000000-N36)/(10000000)</f>
        <v>0.370161776</v>
      </c>
    </row>
    <row r="37" spans="2:15" x14ac:dyDescent="0.45">
      <c r="B37" s="47" t="s">
        <v>51</v>
      </c>
      <c r="C37" s="52">
        <v>15000000</v>
      </c>
      <c r="D37" s="52">
        <v>15566950.09</v>
      </c>
      <c r="E37" s="53">
        <f>ABS(15000000-D37)/(15000000)</f>
        <v>3.7796672666666656E-2</v>
      </c>
      <c r="F37" s="52">
        <v>14442941.85</v>
      </c>
      <c r="G37" s="53">
        <f>ABS(15000000-F37)/(15000000)</f>
        <v>3.7137210000000025E-2</v>
      </c>
      <c r="H37" s="52">
        <v>11617270.810000001</v>
      </c>
      <c r="I37" s="53">
        <f>ABS(15000000-H37)/(15000000)</f>
        <v>0.22551527933333329</v>
      </c>
      <c r="J37" s="52">
        <v>16277355.32</v>
      </c>
      <c r="K37" s="53">
        <f>ABS(15000000-J37)/(15000000)</f>
        <v>8.5157021333333346E-2</v>
      </c>
      <c r="L37" s="52">
        <v>14089836.67</v>
      </c>
      <c r="M37" s="53">
        <f>ABS(15000000-L37)/(15000000)</f>
        <v>6.0677555333333341E-2</v>
      </c>
      <c r="N37" s="52">
        <v>15538166.210000001</v>
      </c>
      <c r="O37" s="53">
        <f>ABS(15000000-N37)/(15000000)</f>
        <v>3.587774733333339E-2</v>
      </c>
    </row>
    <row r="38" spans="2:15" x14ac:dyDescent="0.45">
      <c r="B38" s="55" t="s">
        <v>0</v>
      </c>
      <c r="C38" s="56"/>
      <c r="D38" s="58">
        <v>1.2311071999999999E-2</v>
      </c>
      <c r="E38" s="58"/>
      <c r="F38" s="58">
        <v>0.13638384100000001</v>
      </c>
      <c r="G38" s="58"/>
      <c r="H38" s="58">
        <v>0.32212337899999999</v>
      </c>
      <c r="I38" s="58"/>
      <c r="J38" s="58">
        <v>3.4282129000000001E-2</v>
      </c>
      <c r="K38" s="58"/>
      <c r="L38" s="58">
        <v>0.14728580199999999</v>
      </c>
      <c r="M38" s="58"/>
      <c r="N38" s="58">
        <v>0.53807020900000002</v>
      </c>
      <c r="O38" s="58"/>
    </row>
    <row r="39" spans="2:15" x14ac:dyDescent="0.45">
      <c r="B39" s="38"/>
      <c r="C39" s="41"/>
      <c r="D39" s="41"/>
      <c r="E39" s="42"/>
      <c r="F39" s="42"/>
      <c r="G39" s="43"/>
      <c r="H39" s="43"/>
      <c r="I39" s="42"/>
      <c r="J39" s="42"/>
      <c r="K39" s="39"/>
      <c r="L39" s="39"/>
      <c r="M39" s="39"/>
      <c r="N39" s="39"/>
      <c r="O39" s="40"/>
    </row>
    <row r="40" spans="2:15" x14ac:dyDescent="0.45">
      <c r="B40" s="38"/>
      <c r="C40" s="41"/>
      <c r="D40" s="41"/>
      <c r="E40" s="44"/>
      <c r="F40" s="44"/>
      <c r="G40" s="45"/>
      <c r="H40" s="45"/>
      <c r="I40" s="44"/>
      <c r="J40" s="44"/>
      <c r="K40" s="40"/>
      <c r="L40" s="40"/>
      <c r="M40" s="40"/>
      <c r="N40" s="40"/>
      <c r="O40" s="40"/>
    </row>
    <row r="41" spans="2:15" ht="14.65" thickBot="1" x14ac:dyDescent="0.5"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</row>
    <row r="42" spans="2:15" ht="15" thickTop="1" thickBot="1" x14ac:dyDescent="0.5">
      <c r="B42" s="59" t="s">
        <v>58</v>
      </c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2:15" ht="19.5" customHeight="1" thickTop="1" x14ac:dyDescent="0.45">
      <c r="B43" s="69" t="s">
        <v>44</v>
      </c>
      <c r="C43" s="62" t="s">
        <v>37</v>
      </c>
      <c r="D43" s="64" t="s">
        <v>39</v>
      </c>
      <c r="E43" s="64"/>
      <c r="F43" s="64" t="s">
        <v>38</v>
      </c>
      <c r="G43" s="64"/>
      <c r="H43" s="64" t="s">
        <v>40</v>
      </c>
      <c r="I43" s="64"/>
      <c r="J43" s="64" t="s">
        <v>41</v>
      </c>
      <c r="K43" s="64"/>
      <c r="L43" s="64" t="s">
        <v>42</v>
      </c>
      <c r="M43" s="64"/>
      <c r="N43" s="64" t="s">
        <v>43</v>
      </c>
      <c r="O43" s="64"/>
    </row>
    <row r="44" spans="2:15" ht="23.25" x14ac:dyDescent="0.45">
      <c r="B44" s="70"/>
      <c r="C44" s="63"/>
      <c r="D44" s="57" t="s">
        <v>45</v>
      </c>
      <c r="E44" s="57" t="s">
        <v>46</v>
      </c>
      <c r="F44" s="57" t="s">
        <v>45</v>
      </c>
      <c r="G44" s="57" t="s">
        <v>46</v>
      </c>
      <c r="H44" s="57" t="s">
        <v>45</v>
      </c>
      <c r="I44" s="57" t="s">
        <v>46</v>
      </c>
      <c r="J44" s="57" t="s">
        <v>45</v>
      </c>
      <c r="K44" s="57" t="s">
        <v>46</v>
      </c>
      <c r="L44" s="57" t="s">
        <v>45</v>
      </c>
      <c r="M44" s="57" t="s">
        <v>46</v>
      </c>
      <c r="N44" s="57" t="s">
        <v>45</v>
      </c>
      <c r="O44" s="57" t="s">
        <v>46</v>
      </c>
    </row>
    <row r="45" spans="2:15" x14ac:dyDescent="0.45">
      <c r="B45" s="38" t="s">
        <v>49</v>
      </c>
      <c r="C45" s="49">
        <v>23000000000</v>
      </c>
      <c r="D45" s="49">
        <v>24028372480</v>
      </c>
      <c r="E45" s="53">
        <f>ABS(23000000000-D45)/(23000000000)</f>
        <v>4.4711846956521736E-2</v>
      </c>
      <c r="F45" s="49">
        <v>23468110356</v>
      </c>
      <c r="G45" s="53">
        <f>ABS(23000000000-F45)/(23000000000)</f>
        <v>2.0352624173913043E-2</v>
      </c>
      <c r="H45" s="49">
        <v>23781814022</v>
      </c>
      <c r="I45" s="53">
        <f>ABS(23000000000-H45)/(23000000000)</f>
        <v>3.3991913999999998E-2</v>
      </c>
      <c r="J45" s="49">
        <v>24012518331</v>
      </c>
      <c r="K45" s="53">
        <f>ABS(23000000000-J45)/(23000000000)</f>
        <v>4.4022536130434782E-2</v>
      </c>
      <c r="L45" s="49">
        <v>22560399717</v>
      </c>
      <c r="M45" s="53">
        <f>ABS(23000000000-L45)/(23000000000)</f>
        <v>1.9113055782608697E-2</v>
      </c>
      <c r="N45" s="49">
        <v>24049516825</v>
      </c>
      <c r="O45" s="53">
        <f>ABS(23000000000-N45)/(23000000000)</f>
        <v>4.5631166304347826E-2</v>
      </c>
    </row>
    <row r="46" spans="2:15" x14ac:dyDescent="0.45">
      <c r="B46" s="71" t="s">
        <v>47</v>
      </c>
      <c r="C46" s="51">
        <v>0.2</v>
      </c>
      <c r="D46" s="41">
        <v>0.14869815</v>
      </c>
      <c r="E46" s="53">
        <f>ABS(0.2-D46)/(0.2)</f>
        <v>0.25650925000000002</v>
      </c>
      <c r="F46" s="41">
        <v>0.19406909</v>
      </c>
      <c r="G46" s="53">
        <f>ABS(0.2-F46)/(0.2)</f>
        <v>2.9654550000000057E-2</v>
      </c>
      <c r="H46" s="41">
        <v>0.49781438</v>
      </c>
      <c r="I46" s="53">
        <f>ABS(0.2-H46)/(0.2)</f>
        <v>1.4890718999999999</v>
      </c>
      <c r="J46" s="41">
        <v>0.11244041</v>
      </c>
      <c r="K46" s="53">
        <f>ABS(0.2-J46)/(0.2)</f>
        <v>0.43779794999999999</v>
      </c>
      <c r="L46" s="41">
        <v>0.14642417999999999</v>
      </c>
      <c r="M46" s="53">
        <f>ABS(0.2-L46)/(0.2)</f>
        <v>0.26787910000000009</v>
      </c>
      <c r="N46" s="41">
        <v>0.10988437</v>
      </c>
      <c r="O46" s="53">
        <f>ABS(0.2-N46)/(0.2)</f>
        <v>0.45057815000000007</v>
      </c>
    </row>
    <row r="47" spans="2:15" x14ac:dyDescent="0.45">
      <c r="B47" s="71" t="s">
        <v>63</v>
      </c>
      <c r="C47" s="41">
        <v>2500</v>
      </c>
      <c r="D47" s="41">
        <v>2575.0675940000001</v>
      </c>
      <c r="E47" s="53">
        <f>ABS(2500-D47)/(2500)</f>
        <v>3.0027037600000039E-2</v>
      </c>
      <c r="F47" s="49">
        <v>2468.4585520000001</v>
      </c>
      <c r="G47" s="53">
        <f>ABS(2500-F47)/(2500)</f>
        <v>1.2616579199999978E-2</v>
      </c>
      <c r="H47" s="41">
        <v>2505.5791669999999</v>
      </c>
      <c r="I47" s="53">
        <f>ABS(2500-H47)/(2500)</f>
        <v>2.231666799999948E-3</v>
      </c>
      <c r="J47" s="49">
        <v>2577.3443130000001</v>
      </c>
      <c r="K47" s="53">
        <f>ABS(2500-J47)/(2500)</f>
        <v>3.0937725200000023E-2</v>
      </c>
      <c r="L47" s="41">
        <v>2455.727754</v>
      </c>
      <c r="M47" s="53">
        <f>ABS(2500-L47)/(2500)</f>
        <v>1.7708898399999999E-2</v>
      </c>
      <c r="N47" s="49">
        <v>2586.3572349999999</v>
      </c>
      <c r="O47" s="53">
        <f>ABS(2500-N47)/(2500)</f>
        <v>3.4542893999999977E-2</v>
      </c>
    </row>
    <row r="48" spans="2:15" x14ac:dyDescent="0.45">
      <c r="B48" s="38" t="s">
        <v>50</v>
      </c>
      <c r="C48" s="49">
        <v>10000000</v>
      </c>
      <c r="D48" s="49">
        <v>11634514.800000001</v>
      </c>
      <c r="E48" s="53">
        <f>ABS(10000000-D48)/(10000000)</f>
        <v>0.16345148000000007</v>
      </c>
      <c r="F48" s="49">
        <v>10908743.539999999</v>
      </c>
      <c r="G48" s="53">
        <f>ABS(10000000-F48)/(10000000)</f>
        <v>9.0874353999999907E-2</v>
      </c>
      <c r="H48" s="49">
        <v>9525479.2440000009</v>
      </c>
      <c r="I48" s="53">
        <f>ABS(10000000-H48)/(10000000)</f>
        <v>4.7452075599999914E-2</v>
      </c>
      <c r="J48" s="49">
        <v>10050340.5</v>
      </c>
      <c r="K48" s="53">
        <f>ABS(10000000-J48)/(10000000)</f>
        <v>5.03405E-3</v>
      </c>
      <c r="L48" s="49">
        <v>5182902.1540000001</v>
      </c>
      <c r="M48" s="53">
        <f>ABS(10000000-L48)/(10000000)</f>
        <v>0.48170978459999997</v>
      </c>
      <c r="N48" s="49">
        <v>6040468.3159999996</v>
      </c>
      <c r="O48" s="53">
        <f>ABS(10000000-N48)/(10000000)</f>
        <v>0.39595316840000006</v>
      </c>
    </row>
    <row r="49" spans="2:15" x14ac:dyDescent="0.45">
      <c r="B49" s="38" t="s">
        <v>51</v>
      </c>
      <c r="C49" s="49">
        <v>15000000</v>
      </c>
      <c r="D49" s="49">
        <v>15747418.699999999</v>
      </c>
      <c r="E49" s="53">
        <f>ABS(15000000-D49)/(15000000)</f>
        <v>4.9827913333333286E-2</v>
      </c>
      <c r="F49" s="49">
        <v>15630449.34</v>
      </c>
      <c r="G49" s="53">
        <f>ABS(15000000-F49)/(15000000)</f>
        <v>4.2029955999999993E-2</v>
      </c>
      <c r="H49" s="49">
        <v>11343814.15</v>
      </c>
      <c r="I49" s="53">
        <f>ABS(15000000-H49)/(15000000)</f>
        <v>0.2437457233333333</v>
      </c>
      <c r="J49" s="49">
        <v>16551544.640000001</v>
      </c>
      <c r="K49" s="53">
        <f>ABS(15000000-J49)/(15000000)</f>
        <v>0.10343630933333338</v>
      </c>
      <c r="L49" s="49">
        <v>17636818.75</v>
      </c>
      <c r="M49" s="53">
        <f>ABS(15000000-L49)/(15000000)</f>
        <v>0.17578791666666665</v>
      </c>
      <c r="N49" s="49">
        <v>21356279.82</v>
      </c>
      <c r="O49" s="53">
        <f>ABS(15000000-N49)/(15000000)</f>
        <v>0.42375198800000002</v>
      </c>
    </row>
    <row r="50" spans="2:15" x14ac:dyDescent="0.45">
      <c r="B50" s="38" t="s">
        <v>55</v>
      </c>
      <c r="C50" s="49">
        <v>18000000</v>
      </c>
      <c r="D50" s="49">
        <v>22957950.379999999</v>
      </c>
      <c r="E50" s="53">
        <f>ABS(18000000-D50)/(18000000)</f>
        <v>0.27544168777777772</v>
      </c>
      <c r="F50" s="49">
        <v>14834183.199999999</v>
      </c>
      <c r="G50" s="53">
        <f>ABS(18000000-F50)/(18000000)</f>
        <v>0.17587871111111114</v>
      </c>
      <c r="H50" s="49">
        <v>17628939.640000001</v>
      </c>
      <c r="I50" s="53">
        <f>ABS(18000000-H50)/(18000000)</f>
        <v>2.0614464444444411E-2</v>
      </c>
      <c r="J50" s="49">
        <v>19082001.640000001</v>
      </c>
      <c r="K50" s="53">
        <f>ABS(18000000-J50)/(18000000)</f>
        <v>6.0111202222222257E-2</v>
      </c>
      <c r="L50" s="49">
        <v>20832015.43</v>
      </c>
      <c r="M50" s="53">
        <f>ABS(18000000-L50)/(18000000)</f>
        <v>0.15733419055555553</v>
      </c>
      <c r="N50" s="49">
        <v>17377003.030000001</v>
      </c>
      <c r="O50" s="53">
        <f>ABS(18000000-N50)/(18000000)</f>
        <v>3.4610942777777709E-2</v>
      </c>
    </row>
    <row r="51" spans="2:15" x14ac:dyDescent="0.45">
      <c r="B51" s="72" t="s">
        <v>56</v>
      </c>
      <c r="C51" s="52">
        <v>13000000</v>
      </c>
      <c r="D51" s="52">
        <v>16090444.34</v>
      </c>
      <c r="E51" s="53">
        <f>ABS(13000000-D51)/(13000000)</f>
        <v>0.23772648769230767</v>
      </c>
      <c r="F51" s="52">
        <v>16266834.279999999</v>
      </c>
      <c r="G51" s="54">
        <f>ABS(13000000-F51)/(13000000)</f>
        <v>0.25129494461538454</v>
      </c>
      <c r="H51" s="52">
        <v>18179060.879999999</v>
      </c>
      <c r="I51" s="54">
        <f>ABS(13000000-H51)/(13000000)</f>
        <v>0.39838929846153837</v>
      </c>
      <c r="J51" s="52">
        <v>13299241.109999999</v>
      </c>
      <c r="K51" s="54">
        <f>ABS(13000000-J51)/(13000000)</f>
        <v>2.3018546923076876E-2</v>
      </c>
      <c r="L51" s="52">
        <v>13007599.699999999</v>
      </c>
      <c r="M51" s="54">
        <f>ABS(13000000-L51)/(13000000)</f>
        <v>5.8459230769225036E-4</v>
      </c>
      <c r="N51" s="52">
        <v>22209193.559999999</v>
      </c>
      <c r="O51" s="54">
        <f>ABS(13000000-N51)/(13000000)</f>
        <v>0.70839950461538448</v>
      </c>
    </row>
    <row r="52" spans="2:15" x14ac:dyDescent="0.45">
      <c r="B52" s="73" t="s">
        <v>0</v>
      </c>
      <c r="C52" s="56"/>
      <c r="D52" s="58">
        <v>0.30491233499999998</v>
      </c>
      <c r="E52" s="58"/>
      <c r="F52" s="58">
        <v>0.53412508650000001</v>
      </c>
      <c r="G52" s="58"/>
      <c r="H52" s="58">
        <v>0.89784170200000002</v>
      </c>
      <c r="I52" s="58"/>
      <c r="J52" s="58">
        <v>0.11027126</v>
      </c>
      <c r="K52" s="58"/>
      <c r="L52" s="58">
        <v>0.71855192899999998</v>
      </c>
      <c r="M52" s="58"/>
      <c r="N52" s="58">
        <v>1.3841959960000001</v>
      </c>
      <c r="O52" s="58"/>
    </row>
    <row r="53" spans="2:15" ht="14.65" thickBot="1" x14ac:dyDescent="0.5"/>
    <row r="54" spans="2:15" ht="15" thickTop="1" thickBot="1" x14ac:dyDescent="0.5">
      <c r="B54" s="59" t="s">
        <v>60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2:15" ht="23.25" customHeight="1" thickTop="1" x14ac:dyDescent="0.45">
      <c r="B55" s="60" t="s">
        <v>44</v>
      </c>
      <c r="C55" s="62" t="s">
        <v>37</v>
      </c>
      <c r="D55" s="64" t="s">
        <v>39</v>
      </c>
      <c r="E55" s="64"/>
      <c r="F55" s="64" t="s">
        <v>38</v>
      </c>
      <c r="G55" s="64"/>
      <c r="H55" s="64" t="s">
        <v>40</v>
      </c>
      <c r="I55" s="64"/>
      <c r="J55" s="64" t="s">
        <v>41</v>
      </c>
      <c r="K55" s="64"/>
      <c r="L55" s="64" t="s">
        <v>42</v>
      </c>
      <c r="M55" s="64"/>
      <c r="N55" s="64" t="s">
        <v>43</v>
      </c>
      <c r="O55" s="64"/>
    </row>
    <row r="56" spans="2:15" ht="23.25" x14ac:dyDescent="0.45">
      <c r="B56" s="61"/>
      <c r="C56" s="63"/>
      <c r="D56" s="57" t="s">
        <v>45</v>
      </c>
      <c r="E56" s="57" t="s">
        <v>46</v>
      </c>
      <c r="F56" s="57" t="s">
        <v>45</v>
      </c>
      <c r="G56" s="57" t="s">
        <v>46</v>
      </c>
      <c r="H56" s="57" t="s">
        <v>45</v>
      </c>
      <c r="I56" s="57" t="s">
        <v>46</v>
      </c>
      <c r="J56" s="57" t="s">
        <v>45</v>
      </c>
      <c r="K56" s="57" t="s">
        <v>46</v>
      </c>
      <c r="L56" s="57" t="s">
        <v>45</v>
      </c>
      <c r="M56" s="57" t="s">
        <v>46</v>
      </c>
      <c r="N56" s="57" t="s">
        <v>45</v>
      </c>
      <c r="O56" s="57" t="s">
        <v>46</v>
      </c>
    </row>
    <row r="57" spans="2:15" x14ac:dyDescent="0.45">
      <c r="B57" s="48" t="s">
        <v>49</v>
      </c>
      <c r="C57" s="49">
        <v>23000000000</v>
      </c>
      <c r="D57" s="49">
        <v>24367869714</v>
      </c>
      <c r="E57" s="53">
        <f>ABS(23000000000-D57)/(23000000000)</f>
        <v>5.9472596260869565E-2</v>
      </c>
      <c r="F57" s="49">
        <v>22690300209</v>
      </c>
      <c r="G57" s="53">
        <f>ABS(23000000000-F57)/(23000000000)</f>
        <v>1.3465208304347826E-2</v>
      </c>
      <c r="H57" s="49">
        <v>23316087061</v>
      </c>
      <c r="I57" s="53">
        <f>ABS(23000000000-H57)/(23000000000)</f>
        <v>1.3742915695652174E-2</v>
      </c>
      <c r="J57" s="49">
        <v>23850885558</v>
      </c>
      <c r="K57" s="53">
        <f>ABS(23000000000-J57)/(23000000000)</f>
        <v>3.6995024260869563E-2</v>
      </c>
      <c r="L57">
        <v>23076683882</v>
      </c>
      <c r="M57" s="53">
        <f>ABS(23000000000-L57)/(23000000000)</f>
        <v>3.3340818260869567E-3</v>
      </c>
      <c r="N57" s="49">
        <v>22110903873</v>
      </c>
      <c r="O57" s="53">
        <f>ABS(23000000000-N57)/(23000000000)</f>
        <v>3.8656353347826085E-2</v>
      </c>
    </row>
    <row r="58" spans="2:15" x14ac:dyDescent="0.45">
      <c r="B58" s="50" t="s">
        <v>47</v>
      </c>
      <c r="C58" s="51">
        <v>0.2</v>
      </c>
      <c r="D58" s="41">
        <v>0.17875213000000001</v>
      </c>
      <c r="E58" s="53">
        <f>ABS(0.2-D58)/(0.2)</f>
        <v>0.10623935000000001</v>
      </c>
      <c r="F58" s="41">
        <v>0.16378133</v>
      </c>
      <c r="G58" s="53">
        <f>ABS(0.2-F58)/(0.2)</f>
        <v>0.18109335000000004</v>
      </c>
      <c r="H58" s="41">
        <v>0.20182989000000001</v>
      </c>
      <c r="I58" s="53">
        <f>ABS(0.2-H58)/(0.2)</f>
        <v>9.1494500000000034E-3</v>
      </c>
      <c r="J58" s="41">
        <v>0.10085005</v>
      </c>
      <c r="K58" s="53">
        <f>ABS(0.2-J58)/(0.2)</f>
        <v>0.49574975000000004</v>
      </c>
      <c r="L58">
        <v>0.10174042</v>
      </c>
      <c r="M58" s="53">
        <f>ABS(0.2-L58)/(0.2)</f>
        <v>0.49129790000000007</v>
      </c>
      <c r="N58" s="41">
        <v>0.13571431</v>
      </c>
      <c r="O58" s="53">
        <f>ABS(0.2-N58)/(0.2)</f>
        <v>0.32142845000000003</v>
      </c>
    </row>
    <row r="59" spans="2:15" x14ac:dyDescent="0.45">
      <c r="B59" s="50" t="s">
        <v>59</v>
      </c>
      <c r="C59" s="41">
        <v>2500</v>
      </c>
      <c r="D59" s="41">
        <v>2591.921922</v>
      </c>
      <c r="E59" s="53">
        <f>ABS(2500-D59)/(2500)</f>
        <v>3.6768768799999997E-2</v>
      </c>
      <c r="F59" s="49">
        <v>2450.8075789999998</v>
      </c>
      <c r="G59" s="53">
        <f>ABS(2500-F59)/(2500)</f>
        <v>1.9676968400000078E-2</v>
      </c>
      <c r="H59" s="41">
        <v>2535.6638520000001</v>
      </c>
      <c r="I59" s="53">
        <f>ABS(2500-H59)/(2500)</f>
        <v>1.4265540800000054E-2</v>
      </c>
      <c r="J59" s="49">
        <v>2572.4176649999999</v>
      </c>
      <c r="K59" s="53">
        <f>ABS(2500-J59)/(2500)</f>
        <v>2.8967065999999975E-2</v>
      </c>
      <c r="L59">
        <v>2475.2403410000002</v>
      </c>
      <c r="M59" s="53">
        <f>ABS(2500-L59)/(2500)</f>
        <v>9.9038635999999323E-3</v>
      </c>
      <c r="N59" s="49">
        <v>2568.5289680000001</v>
      </c>
      <c r="O59" s="53">
        <f>ABS(2500-N59)/(2500)</f>
        <v>2.7411587200000032E-2</v>
      </c>
    </row>
    <row r="60" spans="2:15" x14ac:dyDescent="0.45">
      <c r="B60" s="48" t="s">
        <v>50</v>
      </c>
      <c r="C60" s="49">
        <v>10000000</v>
      </c>
      <c r="D60" s="49">
        <v>2627963.5660000001</v>
      </c>
      <c r="E60" s="53">
        <f>ABS(10000000-D60)/(10000000)</f>
        <v>0.7372036434</v>
      </c>
      <c r="F60" s="49">
        <v>9997927.7670000009</v>
      </c>
      <c r="G60" s="53">
        <f>ABS(10000000-F60)/(10000000)</f>
        <v>2.0722329999990762E-4</v>
      </c>
      <c r="H60" s="49">
        <v>3401187.43</v>
      </c>
      <c r="I60" s="53">
        <f>ABS(10000000-H60)/(10000000)</f>
        <v>0.659881257</v>
      </c>
      <c r="J60" s="49">
        <v>6710184.7319999998</v>
      </c>
      <c r="K60" s="53">
        <f>ABS(10000000-J60)/(10000000)</f>
        <v>0.32898152680000003</v>
      </c>
      <c r="L60">
        <v>7286601.0870000003</v>
      </c>
      <c r="M60" s="53">
        <f>ABS(10000000-L60)/(10000000)</f>
        <v>0.27133989129999997</v>
      </c>
      <c r="N60" s="49">
        <v>9703088.1270000003</v>
      </c>
      <c r="O60" s="53">
        <f>ABS(10000000-N60)/(10000000)</f>
        <v>2.9691187299999967E-2</v>
      </c>
    </row>
    <row r="61" spans="2:15" x14ac:dyDescent="0.45">
      <c r="B61" s="48" t="s">
        <v>51</v>
      </c>
      <c r="C61" s="49">
        <v>15000000</v>
      </c>
      <c r="D61" s="49">
        <v>30593450.199999999</v>
      </c>
      <c r="E61" s="53">
        <f>ABS(15000000-D61)/(15000000)</f>
        <v>1.0395633466666667</v>
      </c>
      <c r="F61" s="49">
        <v>14154935.710000001</v>
      </c>
      <c r="G61" s="53">
        <f>ABS(15000000-F61)/(15000000)</f>
        <v>5.6337619333333276E-2</v>
      </c>
      <c r="H61" s="49">
        <v>15635723.439999999</v>
      </c>
      <c r="I61" s="53">
        <f>ABS(15000000-H61)/(15000000)</f>
        <v>4.2381562666666629E-2</v>
      </c>
      <c r="J61" s="49">
        <v>20588904.780000001</v>
      </c>
      <c r="K61" s="53">
        <f>ABS(15000000-J61)/(15000000)</f>
        <v>0.37259365200000005</v>
      </c>
      <c r="L61">
        <v>47519790.5</v>
      </c>
      <c r="M61" s="53">
        <f>ABS(15000000-L61)/(15000000)</f>
        <v>2.1679860333333334</v>
      </c>
      <c r="N61" s="49">
        <v>25349768.370000001</v>
      </c>
      <c r="O61" s="53">
        <f>ABS(15000000-N61)/(15000000)</f>
        <v>0.68998455800000003</v>
      </c>
    </row>
    <row r="62" spans="2:15" x14ac:dyDescent="0.45">
      <c r="B62" s="48" t="s">
        <v>55</v>
      </c>
      <c r="C62" s="49">
        <v>18000000</v>
      </c>
      <c r="D62" s="49">
        <v>52028857.600000001</v>
      </c>
      <c r="E62" s="53">
        <f>ABS(18000000-D62)/(18000000)</f>
        <v>1.890492088888889</v>
      </c>
      <c r="F62" s="49">
        <v>33715120.549999997</v>
      </c>
      <c r="G62" s="53">
        <f>ABS(18000000-F62)/(18000000)</f>
        <v>0.8730622527777776</v>
      </c>
      <c r="H62" s="49">
        <v>23835117.699999999</v>
      </c>
      <c r="I62" s="53">
        <f>ABS(18000000-H62)/(18000000)</f>
        <v>0.32417320555555551</v>
      </c>
      <c r="J62" s="49">
        <v>17623601.34</v>
      </c>
      <c r="K62" s="53">
        <f>ABS(18000000-J62)/(18000000)</f>
        <v>2.0911036666666674E-2</v>
      </c>
      <c r="L62">
        <v>43540174</v>
      </c>
      <c r="M62" s="53">
        <f>ABS(18000000-L62)/(18000000)</f>
        <v>1.4188985555555556</v>
      </c>
      <c r="N62" s="49">
        <v>40502711.07</v>
      </c>
      <c r="O62" s="53">
        <f>ABS(18000000-N62)/(18000000)</f>
        <v>1.2501506149999999</v>
      </c>
    </row>
    <row r="63" spans="2:15" x14ac:dyDescent="0.45">
      <c r="B63" s="47" t="s">
        <v>56</v>
      </c>
      <c r="C63" s="52">
        <v>13000000</v>
      </c>
      <c r="D63" s="52">
        <v>27806387.789999999</v>
      </c>
      <c r="E63" s="53">
        <f>ABS(13000000-D63)/(13000000)</f>
        <v>1.1389529069230768</v>
      </c>
      <c r="F63" s="52">
        <v>17176462.640000001</v>
      </c>
      <c r="G63" s="53">
        <f>ABS(13000000-F63)/(13000000)</f>
        <v>0.32126635692307698</v>
      </c>
      <c r="H63" s="52">
        <v>8837890.6899999995</v>
      </c>
      <c r="I63" s="53">
        <f>ABS(13000000-H63)/(13000000)</f>
        <v>0.32016225461538467</v>
      </c>
      <c r="J63" s="52">
        <v>17385495.859999999</v>
      </c>
      <c r="K63" s="53">
        <f>ABS(13000000-J63)/(13000000)</f>
        <v>0.33734583538461532</v>
      </c>
      <c r="L63">
        <v>36876836.68</v>
      </c>
      <c r="M63" s="53">
        <f>ABS(13000000-L63)/(13000000)</f>
        <v>1.8366797446153846</v>
      </c>
      <c r="N63" s="52">
        <v>40553872.770000003</v>
      </c>
      <c r="O63" s="53">
        <f>ABS(13000000-N63)/(13000000)</f>
        <v>2.1195286746153847</v>
      </c>
    </row>
    <row r="64" spans="2:15" x14ac:dyDescent="0.45">
      <c r="B64" s="55" t="s">
        <v>0</v>
      </c>
      <c r="C64" s="56"/>
      <c r="D64" s="58">
        <v>1.2481216479999999</v>
      </c>
      <c r="E64" s="58"/>
      <c r="F64" s="58">
        <v>0.81828958600000001</v>
      </c>
      <c r="G64" s="58"/>
      <c r="H64" s="58">
        <v>1.9882521179999999</v>
      </c>
      <c r="I64" s="58"/>
      <c r="J64" s="58">
        <v>0.40619634100000002</v>
      </c>
      <c r="K64" s="58"/>
      <c r="L64" s="58">
        <v>4.5819481959999999</v>
      </c>
      <c r="M64" s="58"/>
      <c r="N64" s="58">
        <v>5.1867139939999998</v>
      </c>
      <c r="O64" s="58"/>
    </row>
    <row r="65" spans="2:15" ht="14.65" thickBot="1" x14ac:dyDescent="0.5"/>
    <row r="66" spans="2:15" ht="15" thickTop="1" thickBot="1" x14ac:dyDescent="0.5">
      <c r="B66" s="59" t="s">
        <v>61</v>
      </c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</row>
    <row r="67" spans="2:15" ht="21.4" customHeight="1" thickTop="1" x14ac:dyDescent="0.45">
      <c r="B67" s="60" t="s">
        <v>44</v>
      </c>
      <c r="C67" s="62" t="s">
        <v>37</v>
      </c>
      <c r="D67" s="64" t="s">
        <v>39</v>
      </c>
      <c r="E67" s="64"/>
      <c r="F67" s="64" t="s">
        <v>38</v>
      </c>
      <c r="G67" s="64"/>
      <c r="H67" s="64" t="s">
        <v>40</v>
      </c>
      <c r="I67" s="64"/>
      <c r="J67" s="64" t="s">
        <v>41</v>
      </c>
      <c r="K67" s="64"/>
      <c r="L67" s="64" t="s">
        <v>42</v>
      </c>
      <c r="M67" s="64"/>
      <c r="N67" s="64" t="s">
        <v>43</v>
      </c>
      <c r="O67" s="64"/>
    </row>
    <row r="68" spans="2:15" ht="23.25" x14ac:dyDescent="0.45">
      <c r="B68" s="61"/>
      <c r="C68" s="63"/>
      <c r="D68" s="57" t="s">
        <v>45</v>
      </c>
      <c r="E68" s="57" t="s">
        <v>46</v>
      </c>
      <c r="F68" s="57" t="s">
        <v>45</v>
      </c>
      <c r="G68" s="57" t="s">
        <v>46</v>
      </c>
      <c r="H68" s="57" t="s">
        <v>45</v>
      </c>
      <c r="I68" s="57" t="s">
        <v>46</v>
      </c>
      <c r="J68" s="57" t="s">
        <v>45</v>
      </c>
      <c r="K68" s="57" t="s">
        <v>46</v>
      </c>
      <c r="L68" s="57" t="s">
        <v>45</v>
      </c>
      <c r="M68" s="57" t="s">
        <v>46</v>
      </c>
      <c r="N68" s="57" t="s">
        <v>45</v>
      </c>
      <c r="O68" s="57" t="s">
        <v>46</v>
      </c>
    </row>
    <row r="69" spans="2:15" x14ac:dyDescent="0.45">
      <c r="B69" s="48" t="s">
        <v>54</v>
      </c>
      <c r="C69" s="49">
        <v>23000000000</v>
      </c>
      <c r="D69" s="49">
        <v>23056609428</v>
      </c>
      <c r="E69" s="53">
        <f>ABS(23000000000-D69)/(23000000000)</f>
        <v>2.4612794782608695E-3</v>
      </c>
      <c r="F69" s="49">
        <v>22524895072</v>
      </c>
      <c r="G69" s="53">
        <f>ABS(23000000000-F69)/(23000000000)</f>
        <v>2.0656735999999998E-2</v>
      </c>
      <c r="H69" s="49">
        <v>21792791838</v>
      </c>
      <c r="I69" s="53">
        <f>ABS(23000000000-H69)/(23000000000)</f>
        <v>5.2487311391304345E-2</v>
      </c>
      <c r="J69" s="49">
        <v>23581047801</v>
      </c>
      <c r="K69" s="53">
        <f>ABS(23000000000-J69)/(23000000000)</f>
        <v>2.5262947869565216E-2</v>
      </c>
      <c r="L69" s="49">
        <v>22031525125</v>
      </c>
      <c r="M69" s="53">
        <f>ABS(23000000000-L69)/(23000000000)</f>
        <v>4.2107603260869562E-2</v>
      </c>
      <c r="N69" s="49">
        <v>21057761674</v>
      </c>
      <c r="O69" s="53">
        <f>ABS(23000000000-N69)/(23000000000)</f>
        <v>8.4445144608695649E-2</v>
      </c>
    </row>
    <row r="70" spans="2:15" x14ac:dyDescent="0.45">
      <c r="B70" s="50" t="s">
        <v>47</v>
      </c>
      <c r="C70" s="51">
        <v>0.2</v>
      </c>
      <c r="D70" s="41">
        <v>0.27633795999999999</v>
      </c>
      <c r="E70" s="53">
        <f>ABS(0.2-D70)/(0.2)</f>
        <v>0.38168979999999991</v>
      </c>
      <c r="F70" s="41">
        <v>0.15728002999999999</v>
      </c>
      <c r="G70" s="53">
        <f>ABS(0.2-F70)/(0.2)</f>
        <v>0.21359985000000012</v>
      </c>
      <c r="H70" s="41">
        <v>0.39489605999999999</v>
      </c>
      <c r="I70" s="53">
        <f>ABS(0.2-H70)/(0.2)</f>
        <v>0.97448029999999985</v>
      </c>
      <c r="J70" s="41">
        <v>0.22766955</v>
      </c>
      <c r="K70" s="53">
        <f>ABS(0.2-J70)/(0.2)</f>
        <v>0.13834774999999994</v>
      </c>
      <c r="L70" s="41">
        <v>0.21087528999999999</v>
      </c>
      <c r="M70" s="53">
        <f>ABS(0.2-L70)/(0.2)</f>
        <v>5.437644999999991E-2</v>
      </c>
      <c r="N70" s="41">
        <v>0.49099746999999999</v>
      </c>
      <c r="O70" s="53">
        <f>ABS(0.2-N70)/(0.2)</f>
        <v>1.4549873499999999</v>
      </c>
    </row>
    <row r="71" spans="2:15" x14ac:dyDescent="0.45">
      <c r="B71" s="50" t="s">
        <v>59</v>
      </c>
      <c r="C71" s="41">
        <v>2500</v>
      </c>
      <c r="D71" s="41">
        <v>2453.9744780000001</v>
      </c>
      <c r="E71" s="53">
        <f>ABS(2500-D71)/(2500)</f>
        <v>1.8410208799999963E-2</v>
      </c>
      <c r="F71" s="49">
        <v>2495.3664709999998</v>
      </c>
      <c r="G71" s="53">
        <f>ABS(2500-F71)/(2500)</f>
        <v>1.8534116000000723E-3</v>
      </c>
      <c r="H71" s="41">
        <v>2493.1189939999999</v>
      </c>
      <c r="I71" s="53">
        <f>ABS(2500-H71)/(2500)</f>
        <v>2.752402400000028E-3</v>
      </c>
      <c r="J71" s="49">
        <v>2545.3240000000001</v>
      </c>
      <c r="K71" s="53">
        <f>ABS(2500-J71)/(2500)</f>
        <v>1.8129600000000027E-2</v>
      </c>
      <c r="L71" s="41">
        <v>2420.1915589999999</v>
      </c>
      <c r="M71" s="53">
        <f>ABS(2500-L71)/(2500)</f>
        <v>3.192337640000005E-2</v>
      </c>
      <c r="N71" s="49">
        <v>2452.2750209999999</v>
      </c>
      <c r="O71" s="53">
        <f>ABS(2500-N71)/(2500)</f>
        <v>1.9089991600000029E-2</v>
      </c>
    </row>
    <row r="72" spans="2:15" x14ac:dyDescent="0.45">
      <c r="B72" s="48" t="s">
        <v>50</v>
      </c>
      <c r="C72" s="49">
        <v>10000000</v>
      </c>
      <c r="D72" s="49">
        <v>9659163.1339999996</v>
      </c>
      <c r="E72" s="53">
        <f>ABS(10000000-D72)/(10000000)</f>
        <v>3.4083686600000038E-2</v>
      </c>
      <c r="F72" s="49">
        <v>11895909.66</v>
      </c>
      <c r="G72" s="53">
        <f>ABS(10000000-F72)/(10000000)</f>
        <v>0.18959096600000003</v>
      </c>
      <c r="H72" s="49">
        <v>13166424.800000001</v>
      </c>
      <c r="I72" s="53">
        <f>ABS(10000000-H72)/(10000000)</f>
        <v>0.31664248000000006</v>
      </c>
      <c r="J72" s="49">
        <v>9533151.7510000002</v>
      </c>
      <c r="K72" s="53">
        <f>ABS(10000000-J72)/(10000000)</f>
        <v>4.6684824899999984E-2</v>
      </c>
      <c r="L72" s="49">
        <v>10813191.380000001</v>
      </c>
      <c r="M72" s="53">
        <f>ABS(10000000-L72)/(10000000)</f>
        <v>8.1319138000000082E-2</v>
      </c>
      <c r="N72" s="49">
        <v>6046257.9649999999</v>
      </c>
      <c r="O72" s="53">
        <f>ABS(10000000-N72)/(10000000)</f>
        <v>0.39537420350000002</v>
      </c>
    </row>
    <row r="73" spans="2:15" x14ac:dyDescent="0.45">
      <c r="B73" s="47" t="s">
        <v>51</v>
      </c>
      <c r="C73" s="52">
        <v>15000000</v>
      </c>
      <c r="D73" s="52">
        <v>14895102.02</v>
      </c>
      <c r="E73" s="53">
        <f>ABS(15000000-D73)/(15000000)</f>
        <v>6.9931986666666966E-3</v>
      </c>
      <c r="F73" s="52">
        <v>12807589.890000001</v>
      </c>
      <c r="G73" s="53">
        <f>ABS(15000000-F73)/(15000000)</f>
        <v>0.14616067399999996</v>
      </c>
      <c r="H73" s="52">
        <v>14284176.27</v>
      </c>
      <c r="I73" s="53">
        <f>ABS(15000000-H73)/(15000000)</f>
        <v>4.7721582000000033E-2</v>
      </c>
      <c r="J73" s="52">
        <v>16277355.32</v>
      </c>
      <c r="K73" s="53">
        <f>ABS(15000000-J73)/(15000000)</f>
        <v>8.5157021333333346E-2</v>
      </c>
      <c r="L73" s="52">
        <v>13883422.800000001</v>
      </c>
      <c r="M73" s="53">
        <f>ABS(15000000-L73)/(15000000)</f>
        <v>7.4438479999999946E-2</v>
      </c>
      <c r="N73" s="52">
        <v>20620905.82</v>
      </c>
      <c r="O73" s="53">
        <f>ABS(15000000-N73)/(15000000)</f>
        <v>0.37472705466666667</v>
      </c>
    </row>
    <row r="74" spans="2:15" x14ac:dyDescent="0.45">
      <c r="B74" s="55" t="s">
        <v>0</v>
      </c>
      <c r="C74" s="56"/>
      <c r="D74" s="58">
        <v>3.5000000000000003E-2</v>
      </c>
      <c r="E74" s="58"/>
      <c r="F74" s="58">
        <v>0.21493459600000001</v>
      </c>
      <c r="G74" s="58"/>
      <c r="H74" s="58">
        <v>0.58670285</v>
      </c>
      <c r="I74" s="58"/>
      <c r="J74" s="58">
        <v>3.4282129000000001E-2</v>
      </c>
      <c r="K74" s="58"/>
      <c r="L74" s="58">
        <v>0.22045321900000001</v>
      </c>
      <c r="M74" s="58"/>
      <c r="N74" s="58">
        <v>0.72410087099999998</v>
      </c>
      <c r="O74" s="58"/>
    </row>
  </sheetData>
  <mergeCells count="90">
    <mergeCell ref="B43:B44"/>
    <mergeCell ref="B42:O42"/>
    <mergeCell ref="B30:O30"/>
    <mergeCell ref="B4:B5"/>
    <mergeCell ref="B16:B17"/>
    <mergeCell ref="D11:E11"/>
    <mergeCell ref="F11:G11"/>
    <mergeCell ref="B31:B32"/>
    <mergeCell ref="B3:O3"/>
    <mergeCell ref="C4:C5"/>
    <mergeCell ref="D4:E4"/>
    <mergeCell ref="F4:G4"/>
    <mergeCell ref="H4:I4"/>
    <mergeCell ref="J4:K4"/>
    <mergeCell ref="L4:M4"/>
    <mergeCell ref="N4:O4"/>
    <mergeCell ref="C16:C17"/>
    <mergeCell ref="D16:E16"/>
    <mergeCell ref="F16:G16"/>
    <mergeCell ref="H16:I16"/>
    <mergeCell ref="J16:K16"/>
    <mergeCell ref="H11:I11"/>
    <mergeCell ref="J11:K11"/>
    <mergeCell ref="L11:M11"/>
    <mergeCell ref="N11:O11"/>
    <mergeCell ref="B15:O15"/>
    <mergeCell ref="L16:M16"/>
    <mergeCell ref="N16:O16"/>
    <mergeCell ref="D25:E25"/>
    <mergeCell ref="F25:G25"/>
    <mergeCell ref="H25:I25"/>
    <mergeCell ref="J25:K25"/>
    <mergeCell ref="L25:M25"/>
    <mergeCell ref="N25:O25"/>
    <mergeCell ref="C31:C32"/>
    <mergeCell ref="D31:E31"/>
    <mergeCell ref="F31:G31"/>
    <mergeCell ref="H31:I31"/>
    <mergeCell ref="J31:K31"/>
    <mergeCell ref="N31:O31"/>
    <mergeCell ref="D38:E38"/>
    <mergeCell ref="F38:G38"/>
    <mergeCell ref="H38:I38"/>
    <mergeCell ref="J38:K38"/>
    <mergeCell ref="L38:M38"/>
    <mergeCell ref="N38:O38"/>
    <mergeCell ref="L31:M31"/>
    <mergeCell ref="C43:C44"/>
    <mergeCell ref="D43:E43"/>
    <mergeCell ref="F43:G43"/>
    <mergeCell ref="H43:I43"/>
    <mergeCell ref="J43:K43"/>
    <mergeCell ref="N43:O43"/>
    <mergeCell ref="D52:E52"/>
    <mergeCell ref="F52:G52"/>
    <mergeCell ref="H52:I52"/>
    <mergeCell ref="J52:K52"/>
    <mergeCell ref="L52:M52"/>
    <mergeCell ref="N52:O52"/>
    <mergeCell ref="L43:M43"/>
    <mergeCell ref="N64:O64"/>
    <mergeCell ref="B54:O54"/>
    <mergeCell ref="B55:B56"/>
    <mergeCell ref="C55:C56"/>
    <mergeCell ref="D55:E55"/>
    <mergeCell ref="F55:G55"/>
    <mergeCell ref="H55:I55"/>
    <mergeCell ref="J55:K55"/>
    <mergeCell ref="L55:M55"/>
    <mergeCell ref="N55:O55"/>
    <mergeCell ref="D64:E64"/>
    <mergeCell ref="F64:G64"/>
    <mergeCell ref="H64:I64"/>
    <mergeCell ref="J64:K64"/>
    <mergeCell ref="L64:M64"/>
    <mergeCell ref="N74:O74"/>
    <mergeCell ref="B66:O66"/>
    <mergeCell ref="B67:B68"/>
    <mergeCell ref="C67:C68"/>
    <mergeCell ref="D67:E67"/>
    <mergeCell ref="F67:G67"/>
    <mergeCell ref="H67:I67"/>
    <mergeCell ref="J67:K67"/>
    <mergeCell ref="L67:M67"/>
    <mergeCell ref="N67:O67"/>
    <mergeCell ref="D74:E74"/>
    <mergeCell ref="F74:G74"/>
    <mergeCell ref="H74:I74"/>
    <mergeCell ref="J74:K74"/>
    <mergeCell ref="L74:M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3643-EFE7-4571-BAC3-2FB89A273719}">
  <dimension ref="B1:AW251"/>
  <sheetViews>
    <sheetView showGridLines="0" topLeftCell="U1" zoomScale="70" zoomScaleNormal="70" zoomScaleSheetLayoutView="55" workbookViewId="0">
      <selection activeCell="AI6" sqref="AI6"/>
    </sheetView>
  </sheetViews>
  <sheetFormatPr defaultRowHeight="14.25" x14ac:dyDescent="0.45"/>
  <cols>
    <col min="2" max="2" width="19.796875" customWidth="1"/>
    <col min="3" max="3" width="9.86328125" bestFit="1" customWidth="1"/>
    <col min="4" max="5" width="8.53125" bestFit="1" customWidth="1"/>
    <col min="6" max="6" width="9.19921875" bestFit="1" customWidth="1"/>
    <col min="7" max="8" width="13.73046875" bestFit="1" customWidth="1"/>
    <col min="9" max="9" width="14.73046875" bestFit="1" customWidth="1"/>
    <col min="12" max="12" width="19.73046875" bestFit="1" customWidth="1"/>
    <col min="13" max="13" width="21" customWidth="1"/>
    <col min="14" max="14" width="10.796875" customWidth="1"/>
    <col min="15" max="15" width="9.265625" customWidth="1"/>
    <col min="16" max="16" width="11.265625" bestFit="1" customWidth="1"/>
    <col min="17" max="17" width="15.9296875" bestFit="1" customWidth="1"/>
    <col min="18" max="18" width="13.59765625" bestFit="1" customWidth="1"/>
    <col min="19" max="19" width="14.59765625" bestFit="1" customWidth="1"/>
    <col min="20" max="20" width="13.59765625" bestFit="1" customWidth="1"/>
    <col min="21" max="21" width="13.3984375" bestFit="1" customWidth="1"/>
    <col min="22" max="22" width="19.73046875" bestFit="1" customWidth="1"/>
    <col min="23" max="23" width="9.6640625" bestFit="1" customWidth="1"/>
    <col min="24" max="25" width="8.53125" bestFit="1" customWidth="1"/>
    <col min="26" max="26" width="8.9296875" bestFit="1" customWidth="1"/>
    <col min="27" max="28" width="13.3984375" bestFit="1" customWidth="1"/>
    <col min="29" max="29" width="14.3984375" bestFit="1" customWidth="1"/>
    <col min="32" max="32" width="8.06640625" customWidth="1"/>
    <col min="33" max="33" width="7.9296875" customWidth="1"/>
    <col min="34" max="45" width="7.46484375" customWidth="1"/>
  </cols>
  <sheetData>
    <row r="1" spans="2:49" ht="15" thickTop="1" thickBot="1" x14ac:dyDescent="0.5">
      <c r="B1" s="65" t="s">
        <v>19</v>
      </c>
      <c r="C1" s="65"/>
      <c r="D1" s="65"/>
      <c r="E1" s="65"/>
      <c r="F1" s="65"/>
      <c r="G1" s="65"/>
      <c r="H1" s="65"/>
      <c r="I1" s="65"/>
      <c r="K1" s="30"/>
    </row>
    <row r="2" spans="2:49" ht="15" thickTop="1" thickBot="1" x14ac:dyDescent="0.5">
      <c r="B2" s="6" t="s">
        <v>16</v>
      </c>
      <c r="C2" s="66">
        <v>50</v>
      </c>
      <c r="D2" s="66"/>
      <c r="E2" s="66"/>
      <c r="F2" s="6" t="s">
        <v>17</v>
      </c>
      <c r="G2" s="66">
        <v>30</v>
      </c>
      <c r="H2" s="66"/>
      <c r="I2" s="66"/>
      <c r="K2" s="30"/>
    </row>
    <row r="3" spans="2:49" ht="15" thickTop="1" thickBot="1" x14ac:dyDescent="0.5">
      <c r="B3" s="2"/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K3" s="30"/>
      <c r="M3" s="65" t="s">
        <v>25</v>
      </c>
      <c r="N3" s="65"/>
      <c r="O3" s="65"/>
      <c r="P3" s="65"/>
      <c r="Q3" s="65"/>
      <c r="R3" s="65"/>
      <c r="S3" s="65"/>
      <c r="T3" s="65"/>
      <c r="V3" s="65" t="s">
        <v>31</v>
      </c>
      <c r="W3" s="65"/>
      <c r="X3" s="65"/>
      <c r="Y3" s="65"/>
      <c r="Z3" s="65"/>
      <c r="AA3" s="65"/>
      <c r="AB3" s="65"/>
      <c r="AC3" s="65"/>
      <c r="AF3" s="59" t="s">
        <v>48</v>
      </c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59"/>
      <c r="AT3" s="65"/>
      <c r="AU3" s="65"/>
      <c r="AV3" s="65"/>
      <c r="AW3" s="65"/>
    </row>
    <row r="4" spans="2:49" ht="21.75" customHeight="1" thickTop="1" x14ac:dyDescent="0.45">
      <c r="B4" s="7" t="s">
        <v>0</v>
      </c>
      <c r="C4" s="8"/>
      <c r="D4" s="12">
        <v>7.9944348385775493E-3</v>
      </c>
      <c r="E4" s="11">
        <v>3.5028306757017999E-2</v>
      </c>
      <c r="F4" s="12">
        <v>9.1105484346248496E-3</v>
      </c>
      <c r="G4" s="14">
        <v>9.5333693177076708E-3</v>
      </c>
      <c r="H4" s="15">
        <v>1.05672296491853E-2</v>
      </c>
      <c r="I4" s="14">
        <v>1.6421937524238699E-2</v>
      </c>
      <c r="K4" s="30"/>
      <c r="M4" s="6" t="s">
        <v>16</v>
      </c>
      <c r="N4" s="66">
        <v>50</v>
      </c>
      <c r="O4" s="66"/>
      <c r="P4" s="66"/>
      <c r="Q4" s="6" t="s">
        <v>17</v>
      </c>
      <c r="R4" s="66">
        <v>30</v>
      </c>
      <c r="S4" s="66"/>
      <c r="T4" s="66"/>
      <c r="V4" s="6" t="s">
        <v>16</v>
      </c>
      <c r="W4" s="66">
        <v>50</v>
      </c>
      <c r="X4" s="66"/>
      <c r="Y4" s="66"/>
      <c r="Z4" s="6" t="s">
        <v>17</v>
      </c>
      <c r="AA4" s="66">
        <v>30</v>
      </c>
      <c r="AB4" s="66"/>
      <c r="AC4" s="66"/>
      <c r="AF4" s="60" t="s">
        <v>44</v>
      </c>
      <c r="AG4" s="62" t="s">
        <v>37</v>
      </c>
      <c r="AH4" s="64" t="s">
        <v>39</v>
      </c>
      <c r="AI4" s="64"/>
      <c r="AJ4" s="64" t="s">
        <v>38</v>
      </c>
      <c r="AK4" s="64"/>
      <c r="AL4" s="64" t="s">
        <v>40</v>
      </c>
      <c r="AM4" s="64"/>
      <c r="AN4" s="64" t="s">
        <v>41</v>
      </c>
      <c r="AO4" s="64"/>
      <c r="AP4" s="64" t="s">
        <v>42</v>
      </c>
      <c r="AQ4" s="64"/>
      <c r="AR4" s="64" t="s">
        <v>43</v>
      </c>
      <c r="AS4" s="64"/>
      <c r="AT4" s="6"/>
      <c r="AU4" s="66"/>
      <c r="AV4" s="66"/>
      <c r="AW4" s="66"/>
    </row>
    <row r="5" spans="2:49" ht="22.9" customHeight="1" x14ac:dyDescent="0.45">
      <c r="B5" s="16" t="s">
        <v>1</v>
      </c>
      <c r="C5" s="17">
        <v>23000000000</v>
      </c>
      <c r="D5" s="18">
        <v>22680513952.6231</v>
      </c>
      <c r="E5" s="18">
        <v>23278176425.949799</v>
      </c>
      <c r="F5" s="18">
        <v>23530834836.715801</v>
      </c>
      <c r="G5" s="17">
        <v>23327324687.769299</v>
      </c>
      <c r="H5" s="18">
        <v>22473111891.1861</v>
      </c>
      <c r="I5" s="18">
        <v>23613511467.396</v>
      </c>
      <c r="K5" s="30"/>
      <c r="M5" s="2"/>
      <c r="N5" s="1" t="s">
        <v>8</v>
      </c>
      <c r="O5" s="1" t="s">
        <v>9</v>
      </c>
      <c r="P5" s="1" t="s">
        <v>10</v>
      </c>
      <c r="Q5" s="1" t="s">
        <v>11</v>
      </c>
      <c r="R5" s="1" t="s">
        <v>12</v>
      </c>
      <c r="S5" s="1" t="s">
        <v>13</v>
      </c>
      <c r="T5" s="1" t="s">
        <v>14</v>
      </c>
      <c r="V5" s="2"/>
      <c r="W5" s="1" t="s">
        <v>8</v>
      </c>
      <c r="X5" s="1" t="s">
        <v>9</v>
      </c>
      <c r="Y5" s="1" t="s">
        <v>10</v>
      </c>
      <c r="Z5" s="1" t="s">
        <v>11</v>
      </c>
      <c r="AA5" s="1" t="s">
        <v>12</v>
      </c>
      <c r="AB5" s="1" t="s">
        <v>13</v>
      </c>
      <c r="AC5" s="1" t="s">
        <v>14</v>
      </c>
      <c r="AF5" s="61"/>
      <c r="AG5" s="63"/>
      <c r="AH5" s="57" t="s">
        <v>45</v>
      </c>
      <c r="AI5" s="57" t="s">
        <v>46</v>
      </c>
      <c r="AJ5" s="57" t="s">
        <v>45</v>
      </c>
      <c r="AK5" s="57" t="s">
        <v>46</v>
      </c>
      <c r="AL5" s="57" t="s">
        <v>45</v>
      </c>
      <c r="AM5" s="57" t="s">
        <v>46</v>
      </c>
      <c r="AN5" s="57" t="s">
        <v>45</v>
      </c>
      <c r="AO5" s="57" t="s">
        <v>46</v>
      </c>
      <c r="AP5" s="57" t="s">
        <v>45</v>
      </c>
      <c r="AQ5" s="57" t="s">
        <v>46</v>
      </c>
      <c r="AR5" s="57" t="s">
        <v>45</v>
      </c>
      <c r="AS5" s="57" t="s">
        <v>46</v>
      </c>
      <c r="AT5" s="2"/>
      <c r="AU5" s="1"/>
      <c r="AV5" s="1"/>
      <c r="AW5" s="1"/>
    </row>
    <row r="6" spans="2:49" ht="22.9" customHeight="1" x14ac:dyDescent="0.45">
      <c r="B6" s="19" t="s">
        <v>18</v>
      </c>
      <c r="C6" s="19"/>
      <c r="D6" s="13">
        <f t="shared" ref="D6:I6" si="0">ABS($C$5-D5)/$C$5</f>
        <v>1.3890697712039117E-2</v>
      </c>
      <c r="E6" s="13">
        <f t="shared" si="0"/>
        <v>1.2094627215208634E-2</v>
      </c>
      <c r="F6" s="13">
        <f t="shared" si="0"/>
        <v>2.3079775509382661E-2</v>
      </c>
      <c r="G6" s="13">
        <f t="shared" si="0"/>
        <v>1.4231508163882545E-2</v>
      </c>
      <c r="H6" s="13">
        <f t="shared" si="0"/>
        <v>2.2908178644082608E-2</v>
      </c>
      <c r="I6" s="13">
        <f t="shared" si="0"/>
        <v>2.6674411625913039E-2</v>
      </c>
      <c r="K6" s="30"/>
      <c r="M6" s="7" t="s">
        <v>0</v>
      </c>
      <c r="N6" s="8"/>
      <c r="O6" s="29">
        <v>3.4917405653063199E-2</v>
      </c>
      <c r="P6" s="29">
        <v>0.21493459581438601</v>
      </c>
      <c r="Q6" s="29">
        <v>0.32212337936301999</v>
      </c>
      <c r="R6" s="29">
        <v>3.4282129376723001E-2</v>
      </c>
      <c r="S6" s="29">
        <v>0.20219848800000001</v>
      </c>
      <c r="T6" s="29">
        <v>0.53807020926568605</v>
      </c>
      <c r="V6" s="7" t="s">
        <v>0</v>
      </c>
      <c r="W6" s="8"/>
      <c r="X6" s="35">
        <v>1.3214284753865499E-2</v>
      </c>
      <c r="Y6" s="35">
        <v>0.20515381667015201</v>
      </c>
      <c r="Z6" s="35">
        <v>0.54956484904708602</v>
      </c>
      <c r="AA6" s="35">
        <v>1.41449991774629E-2</v>
      </c>
      <c r="AB6" s="35">
        <v>0.22045321936469001</v>
      </c>
      <c r="AC6" s="29">
        <v>0.72410087073289997</v>
      </c>
      <c r="AF6" s="48" t="s">
        <v>54</v>
      </c>
      <c r="AG6" s="49">
        <v>23000000000</v>
      </c>
      <c r="AH6" s="49">
        <f>AVERAGE(O9,X9,X48,O48)</f>
        <v>23507219671.970772</v>
      </c>
      <c r="AI6" s="53">
        <f>ABS(AH6-$AG$6)/$AG$6</f>
        <v>2.2053029216120512E-2</v>
      </c>
      <c r="AJ6" s="49">
        <v>22851377843</v>
      </c>
      <c r="AK6" s="53">
        <f>ABS(AJ6-$AG$6)/$AG$6</f>
        <v>6.4618329130434783E-3</v>
      </c>
      <c r="AL6" s="49">
        <v>22505642645.25</v>
      </c>
      <c r="AM6" s="53">
        <f>ABS(AL6-$AG$6)/$AG$6</f>
        <v>2.1493798032608695E-2</v>
      </c>
      <c r="AN6" s="49">
        <v>23630978670.25</v>
      </c>
      <c r="AO6" s="53">
        <f>ABS(AN6-$AG$6)/$AG$6</f>
        <v>2.7433855228260869E-2</v>
      </c>
      <c r="AP6" s="49">
        <v>23067962508</v>
      </c>
      <c r="AQ6" s="53">
        <f>ABS(AP6-$AG$6)/$AG$6</f>
        <v>2.9548916521739133E-3</v>
      </c>
      <c r="AR6" s="49">
        <v>22019361053.5</v>
      </c>
      <c r="AS6" s="53">
        <f>ABS(AR6-$AG$6)/$AG$6</f>
        <v>4.2636475934782606E-2</v>
      </c>
      <c r="AT6" s="7"/>
      <c r="AU6" s="8"/>
      <c r="AV6" s="35"/>
      <c r="AW6" s="35"/>
    </row>
    <row r="7" spans="2:49" x14ac:dyDescent="0.45">
      <c r="B7" s="3" t="s">
        <v>2</v>
      </c>
      <c r="C7" s="4">
        <v>0.2</v>
      </c>
      <c r="D7" s="20">
        <v>0.21555146</v>
      </c>
      <c r="E7" s="14">
        <v>0.13251124</v>
      </c>
      <c r="F7" s="14">
        <v>0.18193692</v>
      </c>
      <c r="G7" s="14">
        <v>0.19194428999999999</v>
      </c>
      <c r="H7" s="14">
        <v>0.18318718000000001</v>
      </c>
      <c r="I7" s="14">
        <v>0.22073602000000001</v>
      </c>
      <c r="K7" s="30"/>
      <c r="M7" s="4" t="s">
        <v>24</v>
      </c>
      <c r="N7" s="20"/>
      <c r="O7" s="14"/>
      <c r="P7" s="15"/>
      <c r="Q7" s="14"/>
      <c r="R7" s="29">
        <v>3.1257845227590599E-2</v>
      </c>
      <c r="S7" s="29">
        <v>0.18972599487018599</v>
      </c>
      <c r="T7" s="29">
        <v>0.42218846872151</v>
      </c>
      <c r="V7" s="4" t="s">
        <v>24</v>
      </c>
      <c r="W7" s="20"/>
      <c r="X7" s="28"/>
      <c r="Y7" s="36"/>
      <c r="Z7" s="28"/>
      <c r="AA7" s="35">
        <v>1.4091447515276599E-2</v>
      </c>
      <c r="AB7" s="35">
        <v>0.20675972522191099</v>
      </c>
      <c r="AC7" s="29">
        <v>0.60049972644070704</v>
      </c>
      <c r="AF7" s="50" t="s">
        <v>47</v>
      </c>
      <c r="AG7" s="51">
        <v>0.2</v>
      </c>
      <c r="AH7" s="41">
        <f>AVERAGE(O11,X11,X50,O50)</f>
        <v>0.22341105000000003</v>
      </c>
      <c r="AI7" s="53">
        <f>ABS(AH7-$AG$7)/$AG$7</f>
        <v>0.11705525000000008</v>
      </c>
      <c r="AJ7" s="41">
        <v>0.15302740000000001</v>
      </c>
      <c r="AK7" s="53">
        <f>ABS(AJ7-$AG$7)/$AG$7</f>
        <v>0.23486300000000002</v>
      </c>
      <c r="AL7" s="41">
        <v>0.44901490999999999</v>
      </c>
      <c r="AM7" s="53">
        <f>ABS(AL7-$AG$7)/$AG$7</f>
        <v>1.2450745499999998</v>
      </c>
      <c r="AN7" s="41">
        <v>0.22188005999999999</v>
      </c>
      <c r="AO7" s="53">
        <f>ABS(AN7-$AG$7)/$AG$7</f>
        <v>0.10940029999999989</v>
      </c>
      <c r="AP7" s="41">
        <v>0.23858159750000002</v>
      </c>
      <c r="AQ7" s="53">
        <f>ABS(AP7-$AG$7)/$AG$7</f>
        <v>0.19290798750000004</v>
      </c>
      <c r="AR7" s="41">
        <v>0.38170453499999996</v>
      </c>
      <c r="AS7" s="53">
        <f>ABS(AR7-$AG$7)/$AG$7</f>
        <v>0.90852267499999972</v>
      </c>
      <c r="AT7" s="4"/>
      <c r="AU7" s="20"/>
      <c r="AV7" s="28"/>
      <c r="AW7" s="36"/>
    </row>
    <row r="8" spans="2:49" x14ac:dyDescent="0.45">
      <c r="B8" s="25" t="s">
        <v>18</v>
      </c>
      <c r="C8" s="4"/>
      <c r="D8" s="9">
        <f t="shared" ref="D8:I8" si="1">ABS($C$7-D7)/$C$7</f>
        <v>7.7757299999999946E-2</v>
      </c>
      <c r="E8" s="9">
        <f t="shared" si="1"/>
        <v>0.33744380000000002</v>
      </c>
      <c r="F8" s="9">
        <f t="shared" si="1"/>
        <v>9.0315400000000046E-2</v>
      </c>
      <c r="G8" s="9">
        <f t="shared" si="1"/>
        <v>4.0278550000000107E-2</v>
      </c>
      <c r="H8" s="9">
        <f t="shared" si="1"/>
        <v>8.406410000000003E-2</v>
      </c>
      <c r="I8" s="9">
        <f t="shared" si="1"/>
        <v>0.10368009999999997</v>
      </c>
      <c r="K8" s="30"/>
      <c r="M8" s="4" t="s">
        <v>27</v>
      </c>
      <c r="N8" s="20"/>
      <c r="O8" s="14"/>
      <c r="P8" s="15"/>
      <c r="Q8" s="14"/>
      <c r="R8" s="29">
        <v>3.0242841491324702E-3</v>
      </c>
      <c r="S8" s="29">
        <v>1.24724934941224E-2</v>
      </c>
      <c r="T8" s="29">
        <v>0.11588174054417499</v>
      </c>
      <c r="V8" s="4" t="s">
        <v>27</v>
      </c>
      <c r="W8" s="20"/>
      <c r="X8" s="14"/>
      <c r="Y8" s="15"/>
      <c r="Z8" s="14"/>
      <c r="AA8" s="29">
        <v>5.35516621863463E-5</v>
      </c>
      <c r="AB8" s="29">
        <v>1.36934941427789E-2</v>
      </c>
      <c r="AC8" s="29">
        <v>0.123601144292193</v>
      </c>
      <c r="AF8" s="50" t="s">
        <v>52</v>
      </c>
      <c r="AG8" s="41">
        <v>2500</v>
      </c>
      <c r="AH8" s="41">
        <f>AVERAGE(O13,X13,X52,O52)</f>
        <v>2542.4991662749999</v>
      </c>
      <c r="AI8" s="53">
        <f>ABS(AH8-$AG$8)/$AG$8</f>
        <v>1.6999666509999952E-2</v>
      </c>
      <c r="AJ8" s="49">
        <v>2542.1136514999998</v>
      </c>
      <c r="AK8" s="53">
        <f>ABS(AJ8-$AG$8)/$AG$8</f>
        <v>1.6845460599999935E-2</v>
      </c>
      <c r="AL8" s="41">
        <v>2518.4542150000002</v>
      </c>
      <c r="AM8" s="53">
        <f>ABS(AL8-$AG$8)/$AG$8</f>
        <v>7.3816860000000817E-3</v>
      </c>
      <c r="AN8" s="49">
        <v>2558.7703092500001</v>
      </c>
      <c r="AO8" s="53">
        <f>ABS(AN8-$AG$8)/$AG$8</f>
        <v>2.3508123700000032E-2</v>
      </c>
      <c r="AP8" s="41">
        <v>2504.35520275</v>
      </c>
      <c r="AQ8" s="53">
        <f>ABS(AP8-$AG$8)/$AG$8</f>
        <v>1.7420810999999958E-3</v>
      </c>
      <c r="AR8" s="49">
        <v>2505.4334847499999</v>
      </c>
      <c r="AS8" s="53">
        <f>ABS(AR8-$AG$8)/$AG$8</f>
        <v>2.1733938999999734E-3</v>
      </c>
      <c r="AT8" s="4"/>
      <c r="AU8" s="20"/>
      <c r="AV8" s="14"/>
      <c r="AW8" s="15"/>
    </row>
    <row r="9" spans="2:49" x14ac:dyDescent="0.45">
      <c r="B9" s="16" t="s">
        <v>3</v>
      </c>
      <c r="C9" s="19">
        <v>2500</v>
      </c>
      <c r="D9" s="21">
        <v>2454.6443729100001</v>
      </c>
      <c r="E9" s="21">
        <v>2565.3592163399999</v>
      </c>
      <c r="F9" s="21">
        <v>2568.9667381099998</v>
      </c>
      <c r="G9" s="21">
        <v>2542.6831803199998</v>
      </c>
      <c r="H9" s="21">
        <v>2454.4233074200001</v>
      </c>
      <c r="I9" s="21">
        <v>2555.46111367</v>
      </c>
      <c r="K9" s="30"/>
      <c r="M9" s="16" t="s">
        <v>1</v>
      </c>
      <c r="N9" s="17">
        <v>23000000000</v>
      </c>
      <c r="O9" s="17">
        <v>23056609427.681198</v>
      </c>
      <c r="P9" s="17">
        <v>22524895071.686001</v>
      </c>
      <c r="Q9" s="17">
        <v>20498624585.846699</v>
      </c>
      <c r="R9" s="17">
        <v>23581047801</v>
      </c>
      <c r="S9" s="17">
        <v>24056006103</v>
      </c>
      <c r="T9" s="17">
        <v>20514586615.790699</v>
      </c>
      <c r="V9" s="16" t="s">
        <v>1</v>
      </c>
      <c r="W9" s="17">
        <v>23000000000</v>
      </c>
      <c r="X9" s="17">
        <v>23683767541.490101</v>
      </c>
      <c r="Y9" s="17">
        <v>22743989682.772701</v>
      </c>
      <c r="Z9" s="17">
        <v>21838199763.526501</v>
      </c>
      <c r="AA9" s="17">
        <v>23401326778.385201</v>
      </c>
      <c r="AB9" s="17">
        <v>22031525125.442799</v>
      </c>
      <c r="AC9" s="17">
        <v>21057761673.945202</v>
      </c>
      <c r="AF9" s="48" t="s">
        <v>50</v>
      </c>
      <c r="AG9" s="49">
        <v>10000000</v>
      </c>
      <c r="AH9" s="49">
        <f>AVERAGE(O15,X15,X54,O54)</f>
        <v>10001821.115979668</v>
      </c>
      <c r="AI9" s="53">
        <f>ABS(AH9-$AG$9)/$AG$9</f>
        <v>1.8211159796677529E-4</v>
      </c>
      <c r="AJ9" s="49">
        <v>11038533.949749999</v>
      </c>
      <c r="AK9" s="53">
        <f>ABS(AJ9-$AG$9)/$AG$9</f>
        <v>0.10385339497499987</v>
      </c>
      <c r="AL9" s="49">
        <v>10009944.442249998</v>
      </c>
      <c r="AM9" s="53">
        <f>ABS(AL9-$AG$9)/$AG$9</f>
        <v>9.9444422499984507E-4</v>
      </c>
      <c r="AN9" s="49">
        <v>10082415.437750001</v>
      </c>
      <c r="AO9" s="53">
        <f>ABS(AN9-$AG$9)/$AG$9</f>
        <v>8.2415437750000507E-3</v>
      </c>
      <c r="AP9" s="49">
        <v>10355064.83</v>
      </c>
      <c r="AQ9" s="53">
        <f>ABS(AP9-$AG$9)/$AG$9</f>
        <v>3.5506483000000005E-2</v>
      </c>
      <c r="AR9" s="49">
        <v>8681039.8512500003</v>
      </c>
      <c r="AS9" s="53">
        <f>ABS(AR9-$AG$9)/$AG$9</f>
        <v>0.13189601487499997</v>
      </c>
      <c r="AT9" s="16"/>
      <c r="AU9" s="17"/>
      <c r="AV9" s="17"/>
      <c r="AW9" s="17"/>
    </row>
    <row r="10" spans="2:49" x14ac:dyDescent="0.45">
      <c r="B10" s="16" t="s">
        <v>15</v>
      </c>
      <c r="C10" s="19"/>
      <c r="D10" s="13">
        <f t="shared" ref="D10:I10" si="2">ABS($C$9-D9)/$C$9</f>
        <v>1.8142250835999948E-2</v>
      </c>
      <c r="E10" s="13">
        <f t="shared" si="2"/>
        <v>2.6143686535999949E-2</v>
      </c>
      <c r="F10" s="13">
        <f t="shared" si="2"/>
        <v>2.7586695243999929E-2</v>
      </c>
      <c r="G10" s="13">
        <f t="shared" si="2"/>
        <v>1.7073272127999917E-2</v>
      </c>
      <c r="H10" s="13">
        <f t="shared" si="2"/>
        <v>1.8230677031999949E-2</v>
      </c>
      <c r="I10" s="13">
        <f t="shared" si="2"/>
        <v>2.2184445468000014E-2</v>
      </c>
      <c r="K10" s="30"/>
      <c r="M10" s="19" t="s">
        <v>18</v>
      </c>
      <c r="N10" s="19"/>
      <c r="O10" s="13">
        <f t="shared" ref="O10:T10" si="3">ABS($C$5-O9)/$C$5</f>
        <v>2.4612794643999181E-3</v>
      </c>
      <c r="P10" s="13">
        <f t="shared" si="3"/>
        <v>2.0656736013652137E-2</v>
      </c>
      <c r="Q10" s="13">
        <f t="shared" si="3"/>
        <v>0.10875545278927397</v>
      </c>
      <c r="R10" s="13">
        <f t="shared" si="3"/>
        <v>2.5262947869565216E-2</v>
      </c>
      <c r="S10" s="13">
        <f t="shared" si="3"/>
        <v>4.5913308826086956E-2</v>
      </c>
      <c r="T10" s="13">
        <f t="shared" si="3"/>
        <v>0.10806145148736092</v>
      </c>
      <c r="V10" s="19" t="s">
        <v>18</v>
      </c>
      <c r="W10" s="19"/>
      <c r="X10" s="13">
        <f t="shared" ref="X10:AC10" si="4">ABS($C$5-X9)/$C$5</f>
        <v>2.9729023543047864E-2</v>
      </c>
      <c r="Y10" s="13">
        <f t="shared" si="4"/>
        <v>1.113088335770864E-2</v>
      </c>
      <c r="Z10" s="13">
        <f t="shared" si="4"/>
        <v>5.0513053759717361E-2</v>
      </c>
      <c r="AA10" s="13">
        <f t="shared" si="4"/>
        <v>1.7448990364573935E-2</v>
      </c>
      <c r="AB10" s="13">
        <f t="shared" si="4"/>
        <v>4.2107603241617449E-2</v>
      </c>
      <c r="AC10" s="13">
        <f t="shared" si="4"/>
        <v>8.4445144611078174E-2</v>
      </c>
      <c r="AF10" s="47" t="s">
        <v>51</v>
      </c>
      <c r="AG10" s="52">
        <v>15000000</v>
      </c>
      <c r="AH10" s="52">
        <f>AVERAGE(O17,X17,X56,O56)</f>
        <v>15432306.960511575</v>
      </c>
      <c r="AI10" s="54">
        <f>ABS(AH10-$AG$10)/$AG$10</f>
        <v>2.8820464034104969E-2</v>
      </c>
      <c r="AJ10" s="52">
        <v>14877901.75</v>
      </c>
      <c r="AK10" s="54">
        <f>ABS(AJ10-$AG$10)/$AG$10</f>
        <v>8.1398833333333337E-3</v>
      </c>
      <c r="AL10" s="52">
        <v>16982652.800000001</v>
      </c>
      <c r="AM10" s="54">
        <f>ABS(AL10-$AG$10)/$AG$10</f>
        <v>0.13217685333333337</v>
      </c>
      <c r="AN10" s="52">
        <v>15625185.6175</v>
      </c>
      <c r="AO10" s="54">
        <f>ABS(AN10-$AG$10)/$AG$10</f>
        <v>4.1679041166666646E-2</v>
      </c>
      <c r="AP10" s="52">
        <v>14808374.287500001</v>
      </c>
      <c r="AQ10" s="54">
        <f>ABS(AP10-$AG$10)/$AG$10</f>
        <v>1.27750474999999E-2</v>
      </c>
      <c r="AR10" s="52">
        <v>16730350.627500001</v>
      </c>
      <c r="AS10" s="54">
        <f>ABS(AR10-$AG$10)/$AG$10</f>
        <v>0.11535670850000009</v>
      </c>
      <c r="AT10" s="3"/>
      <c r="AU10" s="4"/>
      <c r="AV10" s="4"/>
      <c r="AW10" s="4"/>
    </row>
    <row r="11" spans="2:49" x14ac:dyDescent="0.45">
      <c r="B11" s="3" t="s">
        <v>4</v>
      </c>
      <c r="C11" s="5">
        <v>10000000</v>
      </c>
      <c r="D11" s="22">
        <v>14624118.253347199</v>
      </c>
      <c r="E11" s="22">
        <v>16056752.660354</v>
      </c>
      <c r="F11" s="22">
        <v>10288775.066863</v>
      </c>
      <c r="G11" s="5">
        <v>9948636.9414488599</v>
      </c>
      <c r="H11" s="5">
        <v>9999277.9919181298</v>
      </c>
      <c r="I11" s="22">
        <v>10480969.8930587</v>
      </c>
      <c r="K11" s="30"/>
      <c r="M11" s="3" t="s">
        <v>2</v>
      </c>
      <c r="N11" s="4">
        <v>0.2</v>
      </c>
      <c r="O11" s="4">
        <v>0.27633795999999999</v>
      </c>
      <c r="P11" s="4">
        <v>0.15728002999999999</v>
      </c>
      <c r="Q11" s="4">
        <v>0.42970615000000001</v>
      </c>
      <c r="R11" s="4">
        <v>0.22766955</v>
      </c>
      <c r="S11" s="4">
        <v>0.31433999000000001</v>
      </c>
      <c r="T11" s="4">
        <v>0.43694159999999999</v>
      </c>
      <c r="V11" s="3" t="s">
        <v>2</v>
      </c>
      <c r="W11" s="4">
        <v>0.2</v>
      </c>
      <c r="X11" s="4">
        <v>0.18571804</v>
      </c>
      <c r="Y11" s="4">
        <v>0.11247790000000001</v>
      </c>
      <c r="Z11" s="4">
        <v>0.49157571</v>
      </c>
      <c r="AA11" s="4">
        <v>0.21240128</v>
      </c>
      <c r="AB11" s="4">
        <v>0.21087528999999999</v>
      </c>
      <c r="AC11" s="4">
        <v>0.49099746999999999</v>
      </c>
      <c r="AF11" s="55" t="s">
        <v>0</v>
      </c>
      <c r="AG11" s="56"/>
      <c r="AH11" s="58">
        <v>1.9866605000000002E-2</v>
      </c>
      <c r="AI11" s="58"/>
      <c r="AJ11" s="58">
        <v>0.18960470200000001</v>
      </c>
      <c r="AK11" s="58"/>
      <c r="AL11" s="58">
        <v>0.49940474899999998</v>
      </c>
      <c r="AM11" s="58"/>
      <c r="AN11" s="58">
        <v>1.7828424250000002E-2</v>
      </c>
      <c r="AO11" s="58"/>
      <c r="AP11" s="58">
        <v>0.19627977099999999</v>
      </c>
      <c r="AQ11" s="58"/>
      <c r="AR11" s="58">
        <v>0.63135575575000003</v>
      </c>
      <c r="AS11" s="58"/>
      <c r="AT11" s="16"/>
      <c r="AU11" s="21"/>
      <c r="AV11" s="21"/>
      <c r="AW11" s="21"/>
    </row>
    <row r="12" spans="2:49" x14ac:dyDescent="0.45">
      <c r="B12" s="25" t="s">
        <v>18</v>
      </c>
      <c r="C12" s="4"/>
      <c r="D12" s="10">
        <f t="shared" ref="D12:I12" si="5">ABS($C$11-D11)/$C$11</f>
        <v>0.46241182533471992</v>
      </c>
      <c r="E12" s="10">
        <f t="shared" si="5"/>
        <v>0.60567526603540001</v>
      </c>
      <c r="F12" s="10">
        <f t="shared" si="5"/>
        <v>2.8877506686300038E-2</v>
      </c>
      <c r="G12" s="10">
        <f t="shared" si="5"/>
        <v>5.1363058551140133E-3</v>
      </c>
      <c r="H12" s="10">
        <f t="shared" si="5"/>
        <v>7.2200808187015351E-5</v>
      </c>
      <c r="I12" s="10">
        <f t="shared" si="5"/>
        <v>4.8096989305870051E-2</v>
      </c>
      <c r="K12" s="30"/>
      <c r="M12" s="25" t="s">
        <v>18</v>
      </c>
      <c r="N12" s="4"/>
      <c r="O12" s="9">
        <f t="shared" ref="O12:T12" si="6">ABS($C$7-O11)/$C$7</f>
        <v>0.38168979999999991</v>
      </c>
      <c r="P12" s="9">
        <f t="shared" si="6"/>
        <v>0.21359985000000012</v>
      </c>
      <c r="Q12" s="9">
        <f t="shared" si="6"/>
        <v>1.1485307499999999</v>
      </c>
      <c r="R12" s="9">
        <f t="shared" si="6"/>
        <v>0.13834774999999994</v>
      </c>
      <c r="S12" s="9">
        <f t="shared" si="6"/>
        <v>0.57169994999999996</v>
      </c>
      <c r="T12" s="9">
        <f t="shared" si="6"/>
        <v>1.1847079999999999</v>
      </c>
      <c r="V12" s="25" t="s">
        <v>18</v>
      </c>
      <c r="W12" s="4"/>
      <c r="X12" s="9">
        <f t="shared" ref="X12:AC12" si="7">ABS($C$7-X11)/$C$7</f>
        <v>7.1409800000000051E-2</v>
      </c>
      <c r="Y12" s="9">
        <f t="shared" si="7"/>
        <v>0.43761050000000001</v>
      </c>
      <c r="Z12" s="9">
        <f t="shared" si="7"/>
        <v>1.4578785499999998</v>
      </c>
      <c r="AA12" s="9">
        <f t="shared" si="7"/>
        <v>6.2006399999999934E-2</v>
      </c>
      <c r="AB12" s="9">
        <f t="shared" si="7"/>
        <v>5.437644999999991E-2</v>
      </c>
      <c r="AC12" s="9">
        <f t="shared" si="7"/>
        <v>1.4549873499999999</v>
      </c>
      <c r="AF12" s="38"/>
      <c r="AG12" s="41"/>
      <c r="AH12" s="41"/>
      <c r="AI12" s="42"/>
      <c r="AJ12" s="42"/>
      <c r="AK12" s="43"/>
      <c r="AL12" s="43"/>
      <c r="AM12" s="42"/>
      <c r="AN12" s="42"/>
      <c r="AO12" s="39"/>
      <c r="AP12" s="39"/>
      <c r="AQ12" s="39"/>
      <c r="AR12" s="39"/>
      <c r="AS12" s="40"/>
      <c r="AT12" s="16"/>
      <c r="AU12" s="19"/>
      <c r="AV12" s="13"/>
      <c r="AW12" s="13"/>
    </row>
    <row r="13" spans="2:49" x14ac:dyDescent="0.45">
      <c r="B13" s="16" t="s">
        <v>5</v>
      </c>
      <c r="C13" s="17">
        <v>15000000</v>
      </c>
      <c r="D13" s="17">
        <v>9845075.2355968691</v>
      </c>
      <c r="E13" s="18">
        <v>10123234.5279842</v>
      </c>
      <c r="F13" s="18">
        <v>15874797.443549</v>
      </c>
      <c r="G13" s="17">
        <v>15482976.456328601</v>
      </c>
      <c r="H13" s="18">
        <v>14560589.0638739</v>
      </c>
      <c r="I13" s="18">
        <v>14649989.5173712</v>
      </c>
      <c r="K13" s="30"/>
      <c r="M13" s="16" t="s">
        <v>3</v>
      </c>
      <c r="N13" s="21">
        <v>2500</v>
      </c>
      <c r="O13" s="21">
        <v>2453.97447771</v>
      </c>
      <c r="P13" s="21">
        <v>2495.3664710500002</v>
      </c>
      <c r="Q13" s="21">
        <v>2564.6211520000002</v>
      </c>
      <c r="R13" s="21">
        <v>2545.3240000000001</v>
      </c>
      <c r="S13" s="21">
        <v>2556.6888819999999</v>
      </c>
      <c r="T13" s="21">
        <v>2535.9325219299999</v>
      </c>
      <c r="V13" s="16" t="s">
        <v>3</v>
      </c>
      <c r="W13" s="21">
        <v>2500</v>
      </c>
      <c r="X13" s="21">
        <v>2587.8314599999999</v>
      </c>
      <c r="Y13" s="21">
        <v>2583.1057470000001</v>
      </c>
      <c r="Z13" s="21">
        <v>2558.9301340000002</v>
      </c>
      <c r="AA13" s="21">
        <v>2544.252058</v>
      </c>
      <c r="AB13" s="21">
        <v>2420.1915589999999</v>
      </c>
      <c r="AC13" s="21">
        <v>2452.2750209999999</v>
      </c>
      <c r="AF13" s="38"/>
      <c r="AG13" s="41"/>
      <c r="AH13" s="41"/>
      <c r="AI13" s="44"/>
      <c r="AJ13" s="44"/>
      <c r="AK13" s="45"/>
      <c r="AL13" s="45"/>
      <c r="AM13" s="44"/>
      <c r="AN13" s="44"/>
      <c r="AO13" s="40"/>
      <c r="AP13" s="40"/>
      <c r="AQ13" s="40"/>
      <c r="AR13" s="40"/>
      <c r="AS13" s="40"/>
      <c r="AT13" s="3"/>
      <c r="AU13" s="5"/>
      <c r="AV13" s="5"/>
      <c r="AW13" s="5"/>
    </row>
    <row r="14" spans="2:49" ht="14.65" thickBot="1" x14ac:dyDescent="0.5">
      <c r="B14" s="23" t="s">
        <v>18</v>
      </c>
      <c r="C14" s="23"/>
      <c r="D14" s="24">
        <f t="shared" ref="D14:I14" si="8">ABS($C$13-D13)/$C$13</f>
        <v>0.34366165096020873</v>
      </c>
      <c r="E14" s="24">
        <f t="shared" si="8"/>
        <v>0.32511769813438668</v>
      </c>
      <c r="F14" s="24">
        <f t="shared" si="8"/>
        <v>5.8319829569933312E-2</v>
      </c>
      <c r="G14" s="24">
        <f t="shared" si="8"/>
        <v>3.2198430421906711E-2</v>
      </c>
      <c r="H14" s="24">
        <f t="shared" si="8"/>
        <v>2.9294062408406658E-2</v>
      </c>
      <c r="I14" s="24">
        <f t="shared" si="8"/>
        <v>2.333403217525333E-2</v>
      </c>
      <c r="K14" s="30"/>
      <c r="M14" s="16" t="s">
        <v>15</v>
      </c>
      <c r="N14" s="19"/>
      <c r="O14" s="13">
        <f t="shared" ref="O14:T14" si="9">ABS($C$9-O13)/$C$9</f>
        <v>1.8410208916000009E-2</v>
      </c>
      <c r="P14" s="13">
        <f t="shared" si="9"/>
        <v>1.85341157999992E-3</v>
      </c>
      <c r="Q14" s="13">
        <f t="shared" si="9"/>
        <v>2.5848460800000066E-2</v>
      </c>
      <c r="R14" s="13">
        <f t="shared" si="9"/>
        <v>1.8129600000000027E-2</v>
      </c>
      <c r="S14" s="13">
        <f t="shared" si="9"/>
        <v>2.2675552799999967E-2</v>
      </c>
      <c r="T14" s="13">
        <f t="shared" si="9"/>
        <v>1.4373008771999957E-2</v>
      </c>
      <c r="V14" s="16" t="s">
        <v>15</v>
      </c>
      <c r="W14" s="19"/>
      <c r="X14" s="13">
        <f t="shared" ref="X14:AC14" si="10">ABS($C$9-X13)/$C$9</f>
        <v>3.5132583999999953E-2</v>
      </c>
      <c r="Y14" s="13">
        <f t="shared" si="10"/>
        <v>3.3242298800000028E-2</v>
      </c>
      <c r="Z14" s="13">
        <f t="shared" si="10"/>
        <v>2.3572053600000073E-2</v>
      </c>
      <c r="AA14" s="13">
        <f t="shared" si="10"/>
        <v>1.7700823200000014E-2</v>
      </c>
      <c r="AB14" s="13">
        <f t="shared" si="10"/>
        <v>3.192337640000005E-2</v>
      </c>
      <c r="AC14" s="13">
        <f t="shared" si="10"/>
        <v>1.9089991600000029E-2</v>
      </c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16"/>
      <c r="AU14" s="17"/>
      <c r="AV14" s="17"/>
      <c r="AW14" s="17"/>
    </row>
    <row r="15" spans="2:49" ht="15" thickTop="1" thickBot="1" x14ac:dyDescent="0.5">
      <c r="B15" s="19" t="s">
        <v>23</v>
      </c>
      <c r="C15" s="19"/>
      <c r="D15" s="13"/>
      <c r="E15" s="13"/>
      <c r="F15" s="13"/>
      <c r="G15" s="13"/>
      <c r="H15" s="13"/>
      <c r="I15" s="13"/>
      <c r="K15" s="30"/>
      <c r="M15" s="3" t="s">
        <v>4</v>
      </c>
      <c r="N15" s="5">
        <v>10000000</v>
      </c>
      <c r="O15" s="5">
        <v>9659163.1343569104</v>
      </c>
      <c r="P15" s="5">
        <v>11895909.6643824</v>
      </c>
      <c r="Q15" s="5">
        <v>10913799.279999999</v>
      </c>
      <c r="R15" s="5">
        <v>9533151.7510000002</v>
      </c>
      <c r="S15" s="5">
        <v>10806019.82</v>
      </c>
      <c r="T15" s="5">
        <v>6298382.2396002403</v>
      </c>
      <c r="V15" s="3" t="s">
        <v>4</v>
      </c>
      <c r="W15" s="5">
        <v>10000000</v>
      </c>
      <c r="X15" s="5">
        <v>10181160.683241099</v>
      </c>
      <c r="Y15" s="5">
        <v>12083817.2507187</v>
      </c>
      <c r="Z15" s="5">
        <v>6160653.4670000002</v>
      </c>
      <c r="AA15" s="5">
        <v>10134328.541765099</v>
      </c>
      <c r="AB15" s="5">
        <v>10813191.3758679</v>
      </c>
      <c r="AC15" s="5">
        <v>6046257.9649999999</v>
      </c>
      <c r="AF15" s="59" t="s">
        <v>53</v>
      </c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19"/>
      <c r="AU15" s="19"/>
      <c r="AV15" s="33"/>
      <c r="AW15" s="13"/>
    </row>
    <row r="16" spans="2:49" ht="26.25" customHeight="1" thickTop="1" x14ac:dyDescent="0.45">
      <c r="B16" s="68" t="s">
        <v>22</v>
      </c>
      <c r="C16" s="68"/>
      <c r="D16" s="68"/>
      <c r="E16" s="68"/>
      <c r="F16" s="68"/>
      <c r="G16" s="68"/>
      <c r="H16" s="68"/>
      <c r="I16" s="68"/>
      <c r="K16" s="30"/>
      <c r="M16" s="25" t="s">
        <v>18</v>
      </c>
      <c r="N16" s="4"/>
      <c r="O16" s="10">
        <f t="shared" ref="O16:T16" si="11">ABS($C$11-O15)/$C$11</f>
        <v>3.4083686564308963E-2</v>
      </c>
      <c r="P16" s="10">
        <f t="shared" si="11"/>
        <v>0.18959096643824</v>
      </c>
      <c r="Q16" s="10">
        <f t="shared" si="11"/>
        <v>9.137992799999993E-2</v>
      </c>
      <c r="R16" s="10">
        <f t="shared" si="11"/>
        <v>4.6684824899999984E-2</v>
      </c>
      <c r="S16" s="10">
        <f t="shared" si="11"/>
        <v>8.060198200000003E-2</v>
      </c>
      <c r="T16" s="10">
        <f t="shared" si="11"/>
        <v>0.37016177603997596</v>
      </c>
      <c r="V16" s="25" t="s">
        <v>18</v>
      </c>
      <c r="W16" s="4"/>
      <c r="X16" s="10">
        <f t="shared" ref="X16:AC16" si="12">ABS($C$11-X15)/$C$11</f>
        <v>1.8116068324109912E-2</v>
      </c>
      <c r="Y16" s="10">
        <f t="shared" si="12"/>
        <v>0.20838172507186997</v>
      </c>
      <c r="Z16" s="10">
        <f t="shared" si="12"/>
        <v>0.38393465329999998</v>
      </c>
      <c r="AA16" s="10">
        <f t="shared" si="12"/>
        <v>1.343285417650994E-2</v>
      </c>
      <c r="AB16" s="10">
        <f t="shared" si="12"/>
        <v>8.131913758678995E-2</v>
      </c>
      <c r="AC16" s="10">
        <f t="shared" si="12"/>
        <v>0.39537420350000002</v>
      </c>
      <c r="AF16" s="60" t="s">
        <v>44</v>
      </c>
      <c r="AG16" s="62" t="s">
        <v>37</v>
      </c>
      <c r="AH16" s="64" t="s">
        <v>39</v>
      </c>
      <c r="AI16" s="64"/>
      <c r="AJ16" s="64" t="s">
        <v>38</v>
      </c>
      <c r="AK16" s="64"/>
      <c r="AL16" s="64" t="s">
        <v>40</v>
      </c>
      <c r="AM16" s="64"/>
      <c r="AN16" s="64" t="s">
        <v>41</v>
      </c>
      <c r="AO16" s="64"/>
      <c r="AP16" s="64" t="s">
        <v>42</v>
      </c>
      <c r="AQ16" s="64"/>
      <c r="AR16" s="64" t="s">
        <v>43</v>
      </c>
      <c r="AS16" s="64"/>
    </row>
    <row r="17" spans="2:45" ht="23.25" x14ac:dyDescent="0.45">
      <c r="B17" s="1" t="s">
        <v>16</v>
      </c>
      <c r="C17" s="68">
        <v>70</v>
      </c>
      <c r="D17" s="68"/>
      <c r="E17" s="68"/>
      <c r="F17" s="1" t="s">
        <v>17</v>
      </c>
      <c r="G17" s="68">
        <v>30</v>
      </c>
      <c r="H17" s="68"/>
      <c r="I17" s="68"/>
      <c r="K17" s="30"/>
      <c r="M17" s="16" t="s">
        <v>5</v>
      </c>
      <c r="N17" s="17">
        <v>15000000</v>
      </c>
      <c r="O17" s="17">
        <v>14895102.021737801</v>
      </c>
      <c r="P17" s="17">
        <v>12807589.888162199</v>
      </c>
      <c r="Q17" s="17">
        <v>11617270.8138647</v>
      </c>
      <c r="R17" s="17">
        <v>16277355.32</v>
      </c>
      <c r="S17" s="17">
        <v>13650226.550000001</v>
      </c>
      <c r="T17" s="17">
        <v>15538166.2111817</v>
      </c>
      <c r="V17" s="16" t="s">
        <v>5</v>
      </c>
      <c r="W17" s="17">
        <v>15000000</v>
      </c>
      <c r="X17" s="17">
        <v>15791860.3575537</v>
      </c>
      <c r="Y17" s="17">
        <v>14812809.011166099</v>
      </c>
      <c r="Z17" s="17">
        <v>26928882.599022001</v>
      </c>
      <c r="AA17" s="17">
        <v>15451957.9791811</v>
      </c>
      <c r="AB17" s="17">
        <v>13883422.796271499</v>
      </c>
      <c r="AC17" s="17">
        <v>20620905.82</v>
      </c>
      <c r="AF17" s="61"/>
      <c r="AG17" s="63"/>
      <c r="AH17" s="57" t="s">
        <v>45</v>
      </c>
      <c r="AI17" s="57" t="s">
        <v>46</v>
      </c>
      <c r="AJ17" s="57" t="s">
        <v>45</v>
      </c>
      <c r="AK17" s="57" t="s">
        <v>46</v>
      </c>
      <c r="AL17" s="57" t="s">
        <v>45</v>
      </c>
      <c r="AM17" s="57" t="s">
        <v>46</v>
      </c>
      <c r="AN17" s="57" t="s">
        <v>45</v>
      </c>
      <c r="AO17" s="57" t="s">
        <v>46</v>
      </c>
      <c r="AP17" s="57" t="s">
        <v>45</v>
      </c>
      <c r="AQ17" s="57" t="s">
        <v>46</v>
      </c>
      <c r="AR17" s="57" t="s">
        <v>45</v>
      </c>
      <c r="AS17" s="57" t="s">
        <v>46</v>
      </c>
    </row>
    <row r="18" spans="2:45" ht="25.9" customHeight="1" thickBot="1" x14ac:dyDescent="0.5">
      <c r="B18" s="2"/>
      <c r="C18" s="1" t="s">
        <v>8</v>
      </c>
      <c r="D18" s="1" t="s">
        <v>9</v>
      </c>
      <c r="E18" s="1" t="s">
        <v>10</v>
      </c>
      <c r="F18" s="1" t="s">
        <v>11</v>
      </c>
      <c r="G18" s="1" t="s">
        <v>12</v>
      </c>
      <c r="H18" s="1" t="s">
        <v>13</v>
      </c>
      <c r="I18" s="1" t="s">
        <v>14</v>
      </c>
      <c r="K18" s="30"/>
      <c r="M18" s="23" t="s">
        <v>18</v>
      </c>
      <c r="N18" s="23"/>
      <c r="O18" s="24">
        <f t="shared" ref="O18:T18" si="13">ABS($C$13-O17)/$C$13</f>
        <v>6.9931985508132725E-3</v>
      </c>
      <c r="P18" s="24">
        <f t="shared" si="13"/>
        <v>0.14616067412252004</v>
      </c>
      <c r="Q18" s="24">
        <f t="shared" si="13"/>
        <v>0.22551527907568664</v>
      </c>
      <c r="R18" s="24">
        <f t="shared" si="13"/>
        <v>8.5157021333333346E-2</v>
      </c>
      <c r="S18" s="24">
        <f t="shared" si="13"/>
        <v>8.9984896666666619E-2</v>
      </c>
      <c r="T18" s="24">
        <f t="shared" si="13"/>
        <v>3.5877747412113352E-2</v>
      </c>
      <c r="V18" s="23" t="s">
        <v>18</v>
      </c>
      <c r="W18" s="23"/>
      <c r="X18" s="24">
        <f t="shared" ref="X18:AC18" si="14">ABS($C$13-X17)/$C$13</f>
        <v>5.2790690503579998E-2</v>
      </c>
      <c r="Y18" s="24">
        <f t="shared" si="14"/>
        <v>1.247939925559337E-2</v>
      </c>
      <c r="Z18" s="24">
        <f t="shared" si="14"/>
        <v>0.79525883993480007</v>
      </c>
      <c r="AA18" s="24">
        <f t="shared" si="14"/>
        <v>3.0130531945406644E-2</v>
      </c>
      <c r="AB18" s="24">
        <f t="shared" si="14"/>
        <v>7.443848024856671E-2</v>
      </c>
      <c r="AC18" s="24">
        <f t="shared" si="14"/>
        <v>0.37472705466666667</v>
      </c>
      <c r="AF18" s="48" t="s">
        <v>49</v>
      </c>
      <c r="AG18" s="49">
        <v>23000000000</v>
      </c>
      <c r="AH18" s="49">
        <v>24000841046.5</v>
      </c>
      <c r="AI18" s="53">
        <f>ABS(AH18-$AG$6)/$AG$6</f>
        <v>4.3514828108695655E-2</v>
      </c>
      <c r="AJ18" s="49">
        <v>23189623356.5</v>
      </c>
      <c r="AK18" s="53">
        <f>ABS(AJ18-$AG$6)/$AG$6</f>
        <v>8.2444937608695656E-3</v>
      </c>
      <c r="AL18" s="49">
        <v>22880033234</v>
      </c>
      <c r="AM18" s="53">
        <f>ABS(AL18-$AG$6)/$AG$6</f>
        <v>5.2159463478260873E-3</v>
      </c>
      <c r="AN18" s="49">
        <v>24065462063.25</v>
      </c>
      <c r="AO18" s="53">
        <f>ABS(AN18-$AG$6)/$AG$6</f>
        <v>4.6324437532608696E-2</v>
      </c>
      <c r="AP18" s="49">
        <v>23494045537.75</v>
      </c>
      <c r="AQ18" s="53">
        <f>ABS(AP18-$AG$6)/$AG$6</f>
        <v>2.1480240771739132E-2</v>
      </c>
      <c r="AR18" s="49">
        <v>23266427455.5</v>
      </c>
      <c r="AS18" s="53">
        <f>ABS(AR18-$AG$6)/$AG$6</f>
        <v>1.1583802413043479E-2</v>
      </c>
    </row>
    <row r="19" spans="2:45" ht="15" thickTop="1" thickBot="1" x14ac:dyDescent="0.5">
      <c r="B19" s="7" t="s">
        <v>0</v>
      </c>
      <c r="C19" s="8"/>
      <c r="D19" s="12">
        <v>1.1992268056220201E-2</v>
      </c>
      <c r="E19" s="11">
        <v>0.38477611845426302</v>
      </c>
      <c r="F19" s="12">
        <v>1.7935537924387699</v>
      </c>
      <c r="G19" s="14">
        <v>1.2743920504366799</v>
      </c>
      <c r="H19" s="15">
        <v>0.59751925905353898</v>
      </c>
      <c r="I19" s="14">
        <v>1.35744955289344E-2</v>
      </c>
      <c r="K19" s="30"/>
      <c r="M19" s="19" t="s">
        <v>23</v>
      </c>
      <c r="N19" s="19"/>
      <c r="O19" s="33" t="s">
        <v>28</v>
      </c>
      <c r="P19" s="13"/>
      <c r="Q19" s="13"/>
      <c r="R19" s="13"/>
      <c r="S19" s="13"/>
      <c r="T19" s="13"/>
      <c r="V19" s="19" t="s">
        <v>23</v>
      </c>
      <c r="W19" s="19"/>
      <c r="X19" s="33"/>
      <c r="Y19" s="13"/>
      <c r="Z19" s="13"/>
      <c r="AA19" s="13"/>
      <c r="AB19" s="13"/>
      <c r="AC19" s="13"/>
      <c r="AF19" s="50" t="s">
        <v>47</v>
      </c>
      <c r="AG19" s="51">
        <v>0.2</v>
      </c>
      <c r="AH19" s="41">
        <v>0.17098029000000001</v>
      </c>
      <c r="AI19" s="53">
        <f>ABS(AH19-$AG$7)/$AG$7</f>
        <v>0.14509855000000002</v>
      </c>
      <c r="AJ19" s="41">
        <v>0.14892119749999999</v>
      </c>
      <c r="AK19" s="53">
        <f>ABS(AJ19-$AG$7)/$AG$7</f>
        <v>0.2553940125000001</v>
      </c>
      <c r="AL19" s="41">
        <v>0.251444995</v>
      </c>
      <c r="AM19" s="53">
        <f>ABS(AL19-$AG$7)/$AG$7</f>
        <v>0.25722497499999997</v>
      </c>
      <c r="AN19" s="41">
        <v>0.124611655</v>
      </c>
      <c r="AO19" s="53">
        <f>ABS(AN19-$AG$7)/$AG$7</f>
        <v>0.37694172500000001</v>
      </c>
      <c r="AP19" s="41">
        <v>0.11537019999999999</v>
      </c>
      <c r="AQ19" s="53">
        <f>ABS(AP19-$AG$7)/$AG$7</f>
        <v>0.42314900000000005</v>
      </c>
      <c r="AR19" s="41">
        <v>0.11896488500000001</v>
      </c>
      <c r="AS19" s="53">
        <f>ABS(AR19-$AG$7)/$AG$7</f>
        <v>0.40517557500000001</v>
      </c>
    </row>
    <row r="20" spans="2:45" ht="14.65" thickTop="1" x14ac:dyDescent="0.45">
      <c r="B20" s="16" t="s">
        <v>1</v>
      </c>
      <c r="C20" s="17">
        <v>23000000000</v>
      </c>
      <c r="D20" s="18">
        <v>23680529720.559101</v>
      </c>
      <c r="E20" s="18">
        <v>23110817251.527699</v>
      </c>
      <c r="F20" s="18">
        <v>20464008468.2183</v>
      </c>
      <c r="G20" s="17">
        <v>24736136038.372299</v>
      </c>
      <c r="H20" s="18">
        <v>23288337648.958599</v>
      </c>
      <c r="I20" s="18">
        <v>23444360197.578602</v>
      </c>
      <c r="K20" s="30"/>
      <c r="M20" s="67" t="s">
        <v>26</v>
      </c>
      <c r="N20" s="67"/>
      <c r="O20" s="67"/>
      <c r="P20" s="67"/>
      <c r="Q20" s="67"/>
      <c r="R20" s="67"/>
      <c r="S20" s="67"/>
      <c r="T20" s="67"/>
      <c r="V20" s="67" t="s">
        <v>32</v>
      </c>
      <c r="W20" s="67"/>
      <c r="X20" s="67"/>
      <c r="Y20" s="67"/>
      <c r="Z20" s="67"/>
      <c r="AA20" s="67"/>
      <c r="AB20" s="67"/>
      <c r="AC20" s="67"/>
      <c r="AF20" s="50" t="s">
        <v>52</v>
      </c>
      <c r="AG20" s="41">
        <v>2500</v>
      </c>
      <c r="AH20" s="41">
        <v>2545.9001257499999</v>
      </c>
      <c r="AI20" s="53">
        <f>ABS(AH20-$AG$8)/$AG$8</f>
        <v>1.8360050299999965E-2</v>
      </c>
      <c r="AJ20" s="49">
        <v>2507.9648849999999</v>
      </c>
      <c r="AK20" s="53">
        <f>ABS(AJ20-$AG$8)/$AG$8</f>
        <v>3.185953999999947E-3</v>
      </c>
      <c r="AL20" s="41">
        <v>2545.2702995</v>
      </c>
      <c r="AM20" s="53">
        <f>ABS(AL20-$AG$8)/$AG$8</f>
        <v>1.8108119799999985E-2</v>
      </c>
      <c r="AN20" s="49">
        <v>2577.12696125</v>
      </c>
      <c r="AO20" s="53">
        <f>ABS(AN20-$AG$8)/$AG$8</f>
        <v>3.0850784500000009E-2</v>
      </c>
      <c r="AP20" s="41">
        <v>2509.5619397500004</v>
      </c>
      <c r="AQ20" s="53">
        <f>ABS(AP20-$AG$8)/$AG$8</f>
        <v>3.824775900000168E-3</v>
      </c>
      <c r="AR20" s="49">
        <v>2576.0098429999998</v>
      </c>
      <c r="AS20" s="53">
        <f>ABS(AR20-$AG$8)/$AG$8</f>
        <v>3.0403937199999929E-2</v>
      </c>
    </row>
    <row r="21" spans="2:45" x14ac:dyDescent="0.45">
      <c r="B21" s="19" t="s">
        <v>15</v>
      </c>
      <c r="C21" s="19"/>
      <c r="D21" s="13">
        <f t="shared" ref="D21:I21" si="15">ABS($C$20-D20)/$C$20</f>
        <v>2.9588248719960918E-2</v>
      </c>
      <c r="E21" s="13">
        <f t="shared" si="15"/>
        <v>4.8181413707695008E-3</v>
      </c>
      <c r="F21" s="13">
        <f t="shared" si="15"/>
        <v>0.11026050138181305</v>
      </c>
      <c r="G21" s="13">
        <f t="shared" si="15"/>
        <v>7.5484175581404314E-2</v>
      </c>
      <c r="H21" s="13">
        <f t="shared" si="15"/>
        <v>1.253641951993909E-2</v>
      </c>
      <c r="I21" s="13">
        <f t="shared" si="15"/>
        <v>1.9320008590373992E-2</v>
      </c>
      <c r="K21" s="30"/>
      <c r="M21" s="1" t="s">
        <v>16</v>
      </c>
      <c r="N21" s="68">
        <v>70</v>
      </c>
      <c r="O21" s="68"/>
      <c r="P21" s="68"/>
      <c r="Q21" s="1" t="s">
        <v>17</v>
      </c>
      <c r="R21" s="68">
        <v>30</v>
      </c>
      <c r="S21" s="68"/>
      <c r="T21" s="68"/>
      <c r="V21" s="1" t="s">
        <v>16</v>
      </c>
      <c r="W21" s="68">
        <v>70</v>
      </c>
      <c r="X21" s="68"/>
      <c r="Y21" s="68"/>
      <c r="Z21" s="1" t="s">
        <v>17</v>
      </c>
      <c r="AA21" s="68">
        <v>30</v>
      </c>
      <c r="AB21" s="68"/>
      <c r="AC21" s="68"/>
      <c r="AF21" s="48" t="s">
        <v>50</v>
      </c>
      <c r="AG21" s="49">
        <v>10000000</v>
      </c>
      <c r="AH21" s="49">
        <v>5898049.7185000004</v>
      </c>
      <c r="AI21" s="53">
        <f>ABS(AH21-$AG$9)/$AG$9</f>
        <v>0.41019502814999997</v>
      </c>
      <c r="AJ21" s="49">
        <v>8931678.8735000007</v>
      </c>
      <c r="AK21" s="53">
        <f>ABS(AJ21-$AG$9)/$AG$9</f>
        <v>0.10683211264999994</v>
      </c>
      <c r="AL21" s="49">
        <v>7285528.1270000003</v>
      </c>
      <c r="AM21" s="53">
        <f>ABS(AL21-$AG$9)/$AG$9</f>
        <v>0.27144718729999995</v>
      </c>
      <c r="AN21" s="49">
        <v>8857264.7157500014</v>
      </c>
      <c r="AO21" s="53">
        <f>ABS(AN21-$AG$9)/$AG$9</f>
        <v>0.11427352842499987</v>
      </c>
      <c r="AP21" s="49">
        <v>5662186.6705</v>
      </c>
      <c r="AQ21" s="53">
        <f>ABS(AP21-$AG$9)/$AG$9</f>
        <v>0.43378133294999999</v>
      </c>
      <c r="AR21" s="49">
        <v>8636358.9294999987</v>
      </c>
      <c r="AS21" s="53">
        <f>ABS(AR21-$AG$9)/$AG$9</f>
        <v>0.13636410705000013</v>
      </c>
    </row>
    <row r="22" spans="2:45" x14ac:dyDescent="0.45">
      <c r="B22" s="3" t="s">
        <v>2</v>
      </c>
      <c r="C22" s="4">
        <v>0.2</v>
      </c>
      <c r="D22" s="20">
        <v>0.20089038000000001</v>
      </c>
      <c r="E22" s="14">
        <v>0.10001166</v>
      </c>
      <c r="F22" s="14">
        <v>0.10981821</v>
      </c>
      <c r="G22" s="14">
        <v>0.12547005999999999</v>
      </c>
      <c r="H22" s="14">
        <v>0.11591209</v>
      </c>
      <c r="I22" s="14">
        <v>0.17168538999999999</v>
      </c>
      <c r="K22" s="30"/>
      <c r="M22" s="2"/>
      <c r="N22" s="1" t="s">
        <v>8</v>
      </c>
      <c r="O22" s="1" t="s">
        <v>9</v>
      </c>
      <c r="P22" s="1" t="s">
        <v>10</v>
      </c>
      <c r="Q22" s="1" t="s">
        <v>11</v>
      </c>
      <c r="R22" s="1" t="s">
        <v>12</v>
      </c>
      <c r="S22" s="1" t="s">
        <v>13</v>
      </c>
      <c r="T22" s="1" t="s">
        <v>14</v>
      </c>
      <c r="V22" s="2"/>
      <c r="W22" s="1" t="s">
        <v>8</v>
      </c>
      <c r="X22" s="1" t="s">
        <v>9</v>
      </c>
      <c r="Y22" s="1" t="s">
        <v>10</v>
      </c>
      <c r="Z22" s="1" t="s">
        <v>11</v>
      </c>
      <c r="AA22" s="1" t="s">
        <v>12</v>
      </c>
      <c r="AB22" s="1" t="s">
        <v>13</v>
      </c>
      <c r="AC22" s="1" t="s">
        <v>14</v>
      </c>
      <c r="AF22" s="48" t="s">
        <v>51</v>
      </c>
      <c r="AG22" s="49">
        <v>15000000</v>
      </c>
      <c r="AH22" s="49">
        <v>21835788.184999999</v>
      </c>
      <c r="AI22" s="53">
        <f>ABS(AH22-$AG$9)/$AG$9</f>
        <v>1.1835788184999998</v>
      </c>
      <c r="AJ22" s="49">
        <v>16443755.2425</v>
      </c>
      <c r="AK22" s="53">
        <f>ABS(AJ22-$AG$9)/$AG$9</f>
        <v>0.64437552425</v>
      </c>
      <c r="AL22" s="49">
        <v>15188678.297499999</v>
      </c>
      <c r="AM22" s="53">
        <f>ABS(AL22-$AG$9)/$AG$9</f>
        <v>0.5188678297499999</v>
      </c>
      <c r="AN22" s="49">
        <v>16609150.550000001</v>
      </c>
      <c r="AO22" s="53">
        <f>ABS(AN22-$AG$9)/$AG$9</f>
        <v>0.66091505500000003</v>
      </c>
      <c r="AP22" s="49">
        <v>31506800.550000001</v>
      </c>
      <c r="AQ22" s="53">
        <f>ABS(AP22-$AG$9)/$AG$9</f>
        <v>2.150680055</v>
      </c>
      <c r="AR22" s="49">
        <v>21928761.045000002</v>
      </c>
      <c r="AS22" s="53">
        <f>ABS(AR22-$AG$9)/$AG$9</f>
        <v>1.1928761045000003</v>
      </c>
    </row>
    <row r="23" spans="2:45" x14ac:dyDescent="0.45">
      <c r="B23" s="25" t="s">
        <v>15</v>
      </c>
      <c r="C23" s="4"/>
      <c r="D23" s="9">
        <f t="shared" ref="D23:I23" si="16">ABS($C$22-D22)/$C$22</f>
        <v>4.4518999999999809E-3</v>
      </c>
      <c r="E23" s="9">
        <f t="shared" si="16"/>
        <v>0.49994170000000004</v>
      </c>
      <c r="F23" s="9">
        <f t="shared" si="16"/>
        <v>0.45090895000000003</v>
      </c>
      <c r="G23" s="9">
        <f t="shared" si="16"/>
        <v>0.37264970000000008</v>
      </c>
      <c r="H23" s="9">
        <f t="shared" si="16"/>
        <v>0.42043955000000005</v>
      </c>
      <c r="I23" s="9">
        <f t="shared" si="16"/>
        <v>0.14157305000000009</v>
      </c>
      <c r="K23" s="30"/>
      <c r="M23" s="7" t="s">
        <v>0</v>
      </c>
      <c r="N23" s="8"/>
      <c r="O23" s="34">
        <v>0.304912334924064</v>
      </c>
      <c r="P23" s="29">
        <v>0.46154170550274698</v>
      </c>
      <c r="Q23" s="29">
        <v>1.98825211846604</v>
      </c>
      <c r="R23" s="29">
        <v>0.26937694570208898</v>
      </c>
      <c r="S23" s="29">
        <v>2.6547207956486099</v>
      </c>
      <c r="T23" s="29">
        <v>2.25893748232241</v>
      </c>
      <c r="V23" s="7" t="s">
        <v>0</v>
      </c>
      <c r="W23" s="8"/>
      <c r="X23" s="32">
        <v>1.24812164815296</v>
      </c>
      <c r="Y23" s="32">
        <v>0.81828958551424902</v>
      </c>
      <c r="Z23" s="32">
        <v>1.3946555561340199</v>
      </c>
      <c r="AA23" s="29">
        <v>0.40619634100000002</v>
      </c>
      <c r="AB23" s="29">
        <v>4.5819481964943103</v>
      </c>
      <c r="AC23" s="29">
        <v>5.1867139936450899</v>
      </c>
      <c r="AF23" s="48" t="s">
        <v>55</v>
      </c>
      <c r="AG23" s="49">
        <v>18000000</v>
      </c>
      <c r="AH23" s="49">
        <v>29039290.909249999</v>
      </c>
      <c r="AI23" s="53">
        <f>ABS(AH23-$AG$9)/$AG$9</f>
        <v>1.903929090925</v>
      </c>
      <c r="AJ23" s="49">
        <v>23864876.77</v>
      </c>
      <c r="AK23" s="53">
        <f>ABS(AJ23-$AG$9)/$AG$9</f>
        <v>1.3864876769999999</v>
      </c>
      <c r="AL23" s="49">
        <v>27156706.712499999</v>
      </c>
      <c r="AM23" s="53">
        <f>ABS(AL23-$AG$9)/$AG$9</f>
        <v>1.7156706712499998</v>
      </c>
      <c r="AN23" s="49">
        <v>19353251.734999999</v>
      </c>
      <c r="AO23" s="53">
        <f>ABS(AN23-$AG$9)/$AG$9</f>
        <v>0.9353251735</v>
      </c>
      <c r="AP23" s="49">
        <v>32414708.390000001</v>
      </c>
      <c r="AQ23" s="53">
        <f>ABS(AP23-$AG$9)/$AG$9</f>
        <v>2.2414708390000002</v>
      </c>
      <c r="AR23" s="49">
        <v>27042190.192500003</v>
      </c>
      <c r="AS23" s="53">
        <f>ABS(AR23-$AG$9)/$AG$9</f>
        <v>1.7042190192500002</v>
      </c>
    </row>
    <row r="24" spans="2:45" x14ac:dyDescent="0.45">
      <c r="B24" s="16" t="s">
        <v>3</v>
      </c>
      <c r="C24" s="19">
        <v>2500</v>
      </c>
      <c r="D24" s="21">
        <v>2488.1634115900001</v>
      </c>
      <c r="E24" s="21">
        <v>2570.02432288</v>
      </c>
      <c r="F24" s="21">
        <v>2520.70659209</v>
      </c>
      <c r="G24" s="21">
        <v>2587.2460303799999</v>
      </c>
      <c r="H24" s="21">
        <v>2577.7950090300001</v>
      </c>
      <c r="I24" s="21">
        <v>2567.6677845499999</v>
      </c>
      <c r="K24" s="30"/>
      <c r="M24" s="4" t="s">
        <v>24</v>
      </c>
      <c r="N24" s="20"/>
      <c r="O24" s="14"/>
      <c r="P24" s="15"/>
      <c r="Q24" s="14"/>
      <c r="R24" s="29">
        <v>0.23588406727877101</v>
      </c>
      <c r="S24" s="29">
        <v>1.2235736828057699</v>
      </c>
      <c r="T24" s="29">
        <v>2.10142359897538</v>
      </c>
      <c r="V24" s="4" t="s">
        <v>24</v>
      </c>
      <c r="W24" s="20"/>
      <c r="X24" s="14"/>
      <c r="Y24" s="15"/>
      <c r="Z24" s="14"/>
      <c r="AA24" s="29">
        <v>0.31728855389968103</v>
      </c>
      <c r="AB24" s="29">
        <v>1.69167741710383</v>
      </c>
      <c r="AC24" s="29">
        <v>1.8583618984905399</v>
      </c>
      <c r="AF24" s="47" t="s">
        <v>56</v>
      </c>
      <c r="AG24" s="52">
        <v>13000000</v>
      </c>
      <c r="AH24" s="52">
        <v>21700205.265000001</v>
      </c>
      <c r="AI24" s="54">
        <f>ABS(AH24-$AG$10)/$AG$10</f>
        <v>0.44668035100000003</v>
      </c>
      <c r="AJ24" s="52">
        <v>15672617.755000001</v>
      </c>
      <c r="AK24" s="54">
        <f>ABS(AJ24-$AG$10)/$AG$10</f>
        <v>4.4841183666666722E-2</v>
      </c>
      <c r="AL24" s="52">
        <v>19276190.7575</v>
      </c>
      <c r="AM24" s="54">
        <f>ABS(AL24-$AG$10)/$AG$10</f>
        <v>0.28507938383333337</v>
      </c>
      <c r="AN24" s="52">
        <v>15589093.525</v>
      </c>
      <c r="AO24" s="54">
        <f>ABS(AN24-$AG$10)/$AG$10</f>
        <v>3.9272901666666693E-2</v>
      </c>
      <c r="AP24" s="52">
        <v>21222495.489749998</v>
      </c>
      <c r="AQ24" s="54">
        <f>ABS(AP24-$AG$10)/$AG$10</f>
        <v>0.41483303264999988</v>
      </c>
      <c r="AR24" s="52">
        <v>27144295.705000002</v>
      </c>
      <c r="AS24" s="54">
        <f>ABS(AR24-$AG$10)/$AG$10</f>
        <v>0.80961971366666674</v>
      </c>
    </row>
    <row r="25" spans="2:45" x14ac:dyDescent="0.45">
      <c r="B25" s="16" t="s">
        <v>15</v>
      </c>
      <c r="C25" s="19"/>
      <c r="D25" s="13">
        <f t="shared" ref="D25:I25" si="17">ABS($C$24-D24)/$C$24</f>
        <v>4.7346353639999509E-3</v>
      </c>
      <c r="E25" s="13">
        <f t="shared" si="17"/>
        <v>2.8009729152E-2</v>
      </c>
      <c r="F25" s="13">
        <f t="shared" si="17"/>
        <v>8.282636835999984E-3</v>
      </c>
      <c r="G25" s="13">
        <f t="shared" si="17"/>
        <v>3.4898412151999944E-2</v>
      </c>
      <c r="H25" s="13">
        <f t="shared" si="17"/>
        <v>3.1118003612000029E-2</v>
      </c>
      <c r="I25" s="13">
        <f t="shared" si="17"/>
        <v>2.706711381999994E-2</v>
      </c>
      <c r="K25" s="30"/>
      <c r="M25" s="4" t="s">
        <v>27</v>
      </c>
      <c r="N25" s="20"/>
      <c r="O25" s="14"/>
      <c r="P25" s="15"/>
      <c r="Q25" s="14"/>
      <c r="R25" s="29">
        <v>3.3492878423318703E-2</v>
      </c>
      <c r="S25" s="29">
        <v>1.4311471128428399</v>
      </c>
      <c r="T25" s="29">
        <v>0.15751388334703001</v>
      </c>
      <c r="V25" s="4" t="s">
        <v>27</v>
      </c>
      <c r="W25" s="20"/>
      <c r="X25" s="14"/>
      <c r="Y25" s="15"/>
      <c r="Z25" s="14"/>
      <c r="AA25" s="29">
        <v>8.8907787430984694E-2</v>
      </c>
      <c r="AB25" s="29">
        <v>2.8902707793904701</v>
      </c>
      <c r="AC25" s="29">
        <v>3.32835209515454</v>
      </c>
      <c r="AF25" s="55" t="s">
        <v>0</v>
      </c>
      <c r="AG25" s="56"/>
      <c r="AH25" s="58">
        <v>0.58388845950000001</v>
      </c>
      <c r="AI25" s="58"/>
      <c r="AJ25" s="58">
        <v>0.53412508650000001</v>
      </c>
      <c r="AK25" s="58"/>
      <c r="AL25" s="58">
        <v>1.4756661822499999</v>
      </c>
      <c r="AM25" s="58"/>
      <c r="AN25" s="58">
        <v>0.24221126074999999</v>
      </c>
      <c r="AO25" s="58"/>
      <c r="AP25" s="58">
        <v>2.1996083390000001</v>
      </c>
      <c r="AQ25" s="58"/>
      <c r="AR25" s="58">
        <v>2.6720338405000001</v>
      </c>
      <c r="AS25" s="58"/>
    </row>
    <row r="26" spans="2:45" x14ac:dyDescent="0.45">
      <c r="B26" s="3" t="s">
        <v>4</v>
      </c>
      <c r="C26" s="5">
        <v>10000000</v>
      </c>
      <c r="D26" s="22">
        <v>11830183.866611199</v>
      </c>
      <c r="E26" s="22">
        <v>12596446.605277101</v>
      </c>
      <c r="F26" s="22">
        <v>9638113.7978926692</v>
      </c>
      <c r="G26" s="5">
        <v>2664643.0998765798</v>
      </c>
      <c r="H26" s="5">
        <v>9357994.8619612996</v>
      </c>
      <c r="I26" s="22">
        <v>10224238.9421786</v>
      </c>
      <c r="K26" s="30"/>
      <c r="M26" s="16" t="s">
        <v>1</v>
      </c>
      <c r="N26" s="17">
        <v>23000000000</v>
      </c>
      <c r="O26" s="18">
        <v>24028372479.611801</v>
      </c>
      <c r="P26" s="18">
        <v>23250660523.251301</v>
      </c>
      <c r="Q26" s="18">
        <v>23316087060.679001</v>
      </c>
      <c r="R26" s="17">
        <v>24364756695.803902</v>
      </c>
      <c r="S26" s="18">
        <v>24397809834.756802</v>
      </c>
      <c r="T26" s="18">
        <v>23184483457</v>
      </c>
      <c r="V26" s="16" t="s">
        <v>1</v>
      </c>
      <c r="W26" s="17">
        <v>23000000000</v>
      </c>
      <c r="X26" s="18">
        <v>24367869713.6455</v>
      </c>
      <c r="Y26" s="18">
        <v>22690300209.085899</v>
      </c>
      <c r="Z26" s="18">
        <v>22452473948.255699</v>
      </c>
      <c r="AA26" s="17">
        <v>23850885558</v>
      </c>
      <c r="AB26" s="18">
        <v>23076683882</v>
      </c>
      <c r="AC26" s="18">
        <v>22110903873.163799</v>
      </c>
    </row>
    <row r="27" spans="2:45" x14ac:dyDescent="0.45">
      <c r="B27" s="25" t="s">
        <v>15</v>
      </c>
      <c r="C27" s="4"/>
      <c r="D27" s="10">
        <f t="shared" ref="D27:I27" si="18">ABS($C$26-D26)/$C$26</f>
        <v>0.18301838666111994</v>
      </c>
      <c r="E27" s="10">
        <f t="shared" si="18"/>
        <v>0.25964466052771007</v>
      </c>
      <c r="F27" s="10">
        <f t="shared" si="18"/>
        <v>3.6188620210733081E-2</v>
      </c>
      <c r="G27" s="10">
        <f t="shared" si="18"/>
        <v>0.73353569001234198</v>
      </c>
      <c r="H27" s="10">
        <f t="shared" si="18"/>
        <v>6.4200513803870041E-2</v>
      </c>
      <c r="I27" s="10">
        <f t="shared" si="18"/>
        <v>2.2423894217859952E-2</v>
      </c>
      <c r="K27" s="30"/>
      <c r="M27" s="19" t="s">
        <v>15</v>
      </c>
      <c r="N27" s="19"/>
      <c r="O27" s="13">
        <f t="shared" ref="O27:T27" si="19">ABS($C$20-O26)/$C$20</f>
        <v>4.4711846939643529E-2</v>
      </c>
      <c r="P27" s="13">
        <f t="shared" si="19"/>
        <v>1.0898283619621774E-2</v>
      </c>
      <c r="Q27" s="13">
        <f t="shared" si="19"/>
        <v>1.3742915681695689E-2</v>
      </c>
      <c r="R27" s="13">
        <f t="shared" si="19"/>
        <v>5.9337247643647902E-2</v>
      </c>
      <c r="S27" s="13">
        <f t="shared" si="19"/>
        <v>6.0774340641600068E-2</v>
      </c>
      <c r="T27" s="13">
        <f t="shared" si="19"/>
        <v>8.0210198695652175E-3</v>
      </c>
      <c r="V27" s="19" t="s">
        <v>15</v>
      </c>
      <c r="W27" s="19"/>
      <c r="X27" s="13">
        <f t="shared" ref="X27:AC27" si="20">ABS($C$20-X26)/$C$20</f>
        <v>5.9472596245456533E-2</v>
      </c>
      <c r="Y27" s="13">
        <f t="shared" si="20"/>
        <v>1.3465208300613072E-2</v>
      </c>
      <c r="Z27" s="13">
        <f t="shared" si="20"/>
        <v>2.3805480510621774E-2</v>
      </c>
      <c r="AA27" s="13">
        <f t="shared" si="20"/>
        <v>3.6995024260869563E-2</v>
      </c>
      <c r="AB27" s="13">
        <f t="shared" si="20"/>
        <v>3.3340818260869567E-3</v>
      </c>
      <c r="AC27" s="13">
        <f t="shared" si="20"/>
        <v>3.8656353340704379E-2</v>
      </c>
    </row>
    <row r="28" spans="2:45" x14ac:dyDescent="0.45">
      <c r="B28" s="16" t="s">
        <v>5</v>
      </c>
      <c r="C28" s="17">
        <v>15000000</v>
      </c>
      <c r="D28" s="18">
        <v>12086257.6767148</v>
      </c>
      <c r="E28" s="18">
        <v>12471467.3012757</v>
      </c>
      <c r="F28" s="18">
        <v>18025154.534168798</v>
      </c>
      <c r="G28" s="17">
        <v>13559586.694898199</v>
      </c>
      <c r="H28" s="17">
        <v>18294536.0604579</v>
      </c>
      <c r="I28" s="18">
        <v>15480737.7754064</v>
      </c>
      <c r="K28" s="30"/>
      <c r="M28" s="3" t="s">
        <v>2</v>
      </c>
      <c r="N28" s="4">
        <v>0.2</v>
      </c>
      <c r="O28" s="20">
        <v>0.14869815</v>
      </c>
      <c r="P28" s="14">
        <v>0.11591209</v>
      </c>
      <c r="Q28" s="14">
        <v>0.20182989000000001</v>
      </c>
      <c r="R28" s="14">
        <v>0.14048437</v>
      </c>
      <c r="S28" s="14">
        <v>0.10873323999999999</v>
      </c>
      <c r="T28" s="14">
        <v>0.11620111</v>
      </c>
      <c r="V28" s="3" t="s">
        <v>2</v>
      </c>
      <c r="W28" s="4">
        <v>0.2</v>
      </c>
      <c r="X28" s="20">
        <v>0.17875213000000001</v>
      </c>
      <c r="Y28" s="14">
        <v>0.16378133</v>
      </c>
      <c r="Z28" s="14">
        <v>0.12419603</v>
      </c>
      <c r="AA28" s="14">
        <v>0.10085005</v>
      </c>
      <c r="AB28" s="14">
        <v>0.10174042</v>
      </c>
      <c r="AC28" s="14">
        <v>0.13571431</v>
      </c>
    </row>
    <row r="29" spans="2:45" ht="14.65" thickBot="1" x14ac:dyDescent="0.5">
      <c r="B29" s="19" t="s">
        <v>15</v>
      </c>
      <c r="C29" s="19"/>
      <c r="D29" s="26">
        <f t="shared" ref="D29:I29" si="21">ABS($C$28-D28)/$C$28</f>
        <v>0.19424948821901331</v>
      </c>
      <c r="E29" s="26">
        <f t="shared" si="21"/>
        <v>0.16856884658161997</v>
      </c>
      <c r="F29" s="26">
        <f t="shared" si="21"/>
        <v>0.20167696894458656</v>
      </c>
      <c r="G29" s="26">
        <f t="shared" si="21"/>
        <v>9.6027553673453378E-2</v>
      </c>
      <c r="H29" s="26">
        <f t="shared" si="21"/>
        <v>0.21963573736386002</v>
      </c>
      <c r="I29" s="26">
        <f t="shared" si="21"/>
        <v>3.2049185027093315E-2</v>
      </c>
      <c r="K29" s="30"/>
      <c r="M29" s="25" t="s">
        <v>15</v>
      </c>
      <c r="N29" s="4"/>
      <c r="O29" s="9">
        <f t="shared" ref="O29:T29" si="22">ABS($C$22-O28)/$C$22</f>
        <v>0.25650925000000002</v>
      </c>
      <c r="P29" s="9">
        <f t="shared" si="22"/>
        <v>0.42043955000000005</v>
      </c>
      <c r="Q29" s="9">
        <f t="shared" si="22"/>
        <v>9.1494500000000034E-3</v>
      </c>
      <c r="R29" s="9">
        <f t="shared" si="22"/>
        <v>0.29757815000000004</v>
      </c>
      <c r="S29" s="9">
        <f t="shared" si="22"/>
        <v>0.45633380000000007</v>
      </c>
      <c r="T29" s="9">
        <f t="shared" si="22"/>
        <v>0.41899445000000007</v>
      </c>
      <c r="V29" s="25" t="s">
        <v>15</v>
      </c>
      <c r="W29" s="4"/>
      <c r="X29" s="9">
        <f t="shared" ref="X29:AC29" si="23">ABS($C$22-X28)/$C$22</f>
        <v>0.10623935000000001</v>
      </c>
      <c r="Y29" s="9">
        <f t="shared" si="23"/>
        <v>0.18109335000000004</v>
      </c>
      <c r="Z29" s="9">
        <f t="shared" si="23"/>
        <v>0.37901985000000005</v>
      </c>
      <c r="AA29" s="9">
        <f t="shared" si="23"/>
        <v>0.49574975000000004</v>
      </c>
      <c r="AB29" s="9">
        <f t="shared" si="23"/>
        <v>0.49129790000000007</v>
      </c>
      <c r="AC29" s="9">
        <f t="shared" si="23"/>
        <v>0.32142845000000003</v>
      </c>
    </row>
    <row r="30" spans="2:45" ht="15" thickTop="1" thickBot="1" x14ac:dyDescent="0.5">
      <c r="B30" s="3" t="s">
        <v>6</v>
      </c>
      <c r="C30" s="5">
        <v>18000000</v>
      </c>
      <c r="D30" s="22">
        <v>20421412.5109226</v>
      </c>
      <c r="E30" s="22">
        <v>23330337.705038399</v>
      </c>
      <c r="F30" s="22">
        <v>14377898.402182501</v>
      </c>
      <c r="G30" s="5">
        <v>35602609.030914299</v>
      </c>
      <c r="H30" s="5">
        <v>24467579.6032787</v>
      </c>
      <c r="I30" s="22">
        <v>79422403.059913695</v>
      </c>
      <c r="K30" s="30"/>
      <c r="M30" s="16" t="s">
        <v>3</v>
      </c>
      <c r="N30" s="19">
        <v>2500</v>
      </c>
      <c r="O30" s="21">
        <v>2575.0675940000001</v>
      </c>
      <c r="P30" s="21">
        <v>2520.827628</v>
      </c>
      <c r="Q30" s="21">
        <v>2535.6638520000001</v>
      </c>
      <c r="R30" s="21">
        <v>2597.9248379999999</v>
      </c>
      <c r="S30" s="21">
        <v>2560.572529</v>
      </c>
      <c r="T30" s="21">
        <v>2578.043811</v>
      </c>
      <c r="V30" s="16" t="s">
        <v>3</v>
      </c>
      <c r="W30" s="19">
        <v>2500</v>
      </c>
      <c r="X30" s="21">
        <v>2591.921922</v>
      </c>
      <c r="Y30" s="21">
        <v>2450.8075789999998</v>
      </c>
      <c r="Z30" s="21">
        <v>2551.038798</v>
      </c>
      <c r="AA30" s="21">
        <v>2572.4176649999999</v>
      </c>
      <c r="AB30" s="21">
        <v>2475.2403410000002</v>
      </c>
      <c r="AC30" s="21">
        <v>2568.5289680000001</v>
      </c>
      <c r="AF30" s="59" t="s">
        <v>57</v>
      </c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</row>
    <row r="31" spans="2:45" ht="28.15" customHeight="1" thickTop="1" x14ac:dyDescent="0.45">
      <c r="B31" s="25" t="s">
        <v>15</v>
      </c>
      <c r="C31" s="4"/>
      <c r="D31" s="10">
        <f t="shared" ref="D31:I31" si="24">ABS($C$30-D30)/$C$30</f>
        <v>0.13452291727347776</v>
      </c>
      <c r="E31" s="10">
        <f t="shared" si="24"/>
        <v>0.29612987250213324</v>
      </c>
      <c r="F31" s="10">
        <f t="shared" si="24"/>
        <v>0.20122786654541663</v>
      </c>
      <c r="G31" s="10">
        <f t="shared" si="24"/>
        <v>0.97792272393968327</v>
      </c>
      <c r="H31" s="10">
        <f t="shared" si="24"/>
        <v>0.35930997795992781</v>
      </c>
      <c r="I31" s="10">
        <f t="shared" si="24"/>
        <v>3.4123557255507606</v>
      </c>
      <c r="K31" s="30"/>
      <c r="M31" s="16" t="s">
        <v>15</v>
      </c>
      <c r="N31" s="19"/>
      <c r="O31" s="13">
        <f t="shared" ref="O31:T31" si="25">ABS($C$24-O30)/$C$24</f>
        <v>3.0027037600000039E-2</v>
      </c>
      <c r="P31" s="13">
        <f t="shared" si="25"/>
        <v>8.3310512000000017E-3</v>
      </c>
      <c r="Q31" s="13">
        <f t="shared" si="25"/>
        <v>1.4265540800000054E-2</v>
      </c>
      <c r="R31" s="13">
        <f t="shared" si="25"/>
        <v>3.9169935199999964E-2</v>
      </c>
      <c r="S31" s="13">
        <f t="shared" si="25"/>
        <v>2.4229011600000013E-2</v>
      </c>
      <c r="T31" s="13">
        <f t="shared" si="25"/>
        <v>3.1217524400000002E-2</v>
      </c>
      <c r="V31" s="16" t="s">
        <v>15</v>
      </c>
      <c r="W31" s="19"/>
      <c r="X31" s="13">
        <f t="shared" ref="X31:AC31" si="26">ABS($C$24-X30)/$C$24</f>
        <v>3.6768768799999997E-2</v>
      </c>
      <c r="Y31" s="13">
        <f t="shared" si="26"/>
        <v>1.9676968400000078E-2</v>
      </c>
      <c r="Z31" s="13">
        <f t="shared" si="26"/>
        <v>2.0415519200000017E-2</v>
      </c>
      <c r="AA31" s="13">
        <f t="shared" si="26"/>
        <v>2.8967065999999975E-2</v>
      </c>
      <c r="AB31" s="13">
        <f t="shared" si="26"/>
        <v>9.9038635999999323E-3</v>
      </c>
      <c r="AC31" s="13">
        <f t="shared" si="26"/>
        <v>2.7411587200000032E-2</v>
      </c>
      <c r="AF31" s="60" t="s">
        <v>44</v>
      </c>
      <c r="AG31" s="62" t="s">
        <v>37</v>
      </c>
      <c r="AH31" s="64" t="s">
        <v>39</v>
      </c>
      <c r="AI31" s="64"/>
      <c r="AJ31" s="64" t="s">
        <v>38</v>
      </c>
      <c r="AK31" s="64"/>
      <c r="AL31" s="64" t="s">
        <v>40</v>
      </c>
      <c r="AM31" s="64"/>
      <c r="AN31" s="64" t="s">
        <v>41</v>
      </c>
      <c r="AO31" s="64"/>
      <c r="AP31" s="64" t="s">
        <v>42</v>
      </c>
      <c r="AQ31" s="64"/>
      <c r="AR31" s="64" t="s">
        <v>43</v>
      </c>
      <c r="AS31" s="64"/>
    </row>
    <row r="32" spans="2:45" ht="23.25" x14ac:dyDescent="0.45">
      <c r="B32" s="16" t="s">
        <v>7</v>
      </c>
      <c r="C32" s="17">
        <v>13000000</v>
      </c>
      <c r="D32" s="17">
        <v>12005124.846253401</v>
      </c>
      <c r="E32" s="18">
        <v>10316633.117121</v>
      </c>
      <c r="F32" s="18">
        <v>11234864.9001217</v>
      </c>
      <c r="G32" s="17">
        <v>21524386.223206699</v>
      </c>
      <c r="H32" s="18">
        <v>14383492.6269827</v>
      </c>
      <c r="I32" s="18">
        <v>21412415.935789499</v>
      </c>
      <c r="K32" s="30"/>
      <c r="M32" s="3" t="s">
        <v>4</v>
      </c>
      <c r="N32" s="5">
        <v>10000000</v>
      </c>
      <c r="O32" s="22">
        <v>11634514.7980248</v>
      </c>
      <c r="P32" s="22">
        <v>9430428.4299999997</v>
      </c>
      <c r="Q32" s="22">
        <v>3401187.43</v>
      </c>
      <c r="R32" s="5">
        <v>7643651.6509999996</v>
      </c>
      <c r="S32" s="5">
        <v>1376640.1510000001</v>
      </c>
      <c r="T32" s="22">
        <v>10627953.380000001</v>
      </c>
      <c r="V32" s="3" t="s">
        <v>4</v>
      </c>
      <c r="W32" s="5">
        <v>10000000</v>
      </c>
      <c r="X32" s="22">
        <v>2627963.5660000001</v>
      </c>
      <c r="Y32" s="22">
        <v>9997927.7670000009</v>
      </c>
      <c r="Z32" s="22">
        <v>9974718.3760000002</v>
      </c>
      <c r="AA32" s="5">
        <v>6710184.7319999998</v>
      </c>
      <c r="AB32" s="5">
        <v>7286601.0870000003</v>
      </c>
      <c r="AC32" s="22">
        <v>9703088.1270000003</v>
      </c>
      <c r="AF32" s="61"/>
      <c r="AG32" s="63"/>
      <c r="AH32" s="57" t="s">
        <v>45</v>
      </c>
      <c r="AI32" s="57" t="s">
        <v>46</v>
      </c>
      <c r="AJ32" s="57" t="s">
        <v>45</v>
      </c>
      <c r="AK32" s="57" t="s">
        <v>46</v>
      </c>
      <c r="AL32" s="57" t="s">
        <v>45</v>
      </c>
      <c r="AM32" s="57" t="s">
        <v>46</v>
      </c>
      <c r="AN32" s="57" t="s">
        <v>45</v>
      </c>
      <c r="AO32" s="57" t="s">
        <v>46</v>
      </c>
      <c r="AP32" s="57" t="s">
        <v>45</v>
      </c>
      <c r="AQ32" s="57" t="s">
        <v>46</v>
      </c>
      <c r="AR32" s="57" t="s">
        <v>45</v>
      </c>
      <c r="AS32" s="57" t="s">
        <v>46</v>
      </c>
    </row>
    <row r="33" spans="2:45" ht="14.65" thickBot="1" x14ac:dyDescent="0.5">
      <c r="B33" s="23" t="s">
        <v>15</v>
      </c>
      <c r="C33" s="23"/>
      <c r="D33" s="24">
        <f t="shared" ref="D33:I33" si="27">ABS($C$32-D32)/$C$32</f>
        <v>7.6528857980507639E-2</v>
      </c>
      <c r="E33" s="24">
        <f t="shared" si="27"/>
        <v>0.20641283714453848</v>
      </c>
      <c r="F33" s="24">
        <f t="shared" si="27"/>
        <v>0.13577962306756153</v>
      </c>
      <c r="G33" s="24">
        <f t="shared" si="27"/>
        <v>0.6557220171697461</v>
      </c>
      <c r="H33" s="24">
        <f t="shared" si="27"/>
        <v>0.10642250976790001</v>
      </c>
      <c r="I33" s="24">
        <f t="shared" si="27"/>
        <v>0.64710891813765381</v>
      </c>
      <c r="K33" s="30"/>
      <c r="M33" s="25" t="s">
        <v>15</v>
      </c>
      <c r="N33" s="4"/>
      <c r="O33" s="10">
        <f t="shared" ref="O33:T33" si="28">ABS($C$26-O32)/$C$26</f>
        <v>0.16345147980247995</v>
      </c>
      <c r="P33" s="10">
        <f t="shared" si="28"/>
        <v>5.6957157000000029E-2</v>
      </c>
      <c r="Q33" s="10">
        <f t="shared" si="28"/>
        <v>0.659881257</v>
      </c>
      <c r="R33" s="10">
        <f t="shared" si="28"/>
        <v>0.23563483490000003</v>
      </c>
      <c r="S33" s="10">
        <f t="shared" si="28"/>
        <v>0.86233598489999996</v>
      </c>
      <c r="T33" s="10">
        <f t="shared" si="28"/>
        <v>6.2795338000000075E-2</v>
      </c>
      <c r="V33" s="25" t="s">
        <v>15</v>
      </c>
      <c r="W33" s="4"/>
      <c r="X33" s="10">
        <f t="shared" ref="X33:AC33" si="29">ABS($C$26-X32)/$C$26</f>
        <v>0.7372036434</v>
      </c>
      <c r="Y33" s="10">
        <f t="shared" si="29"/>
        <v>2.0722329999990762E-4</v>
      </c>
      <c r="Z33" s="10">
        <f t="shared" si="29"/>
        <v>2.5281623999999837E-3</v>
      </c>
      <c r="AA33" s="10">
        <f t="shared" si="29"/>
        <v>0.32898152680000003</v>
      </c>
      <c r="AB33" s="10">
        <f t="shared" si="29"/>
        <v>0.27133989129999997</v>
      </c>
      <c r="AC33" s="10">
        <f t="shared" si="29"/>
        <v>2.9691187299999967E-2</v>
      </c>
      <c r="AF33" s="48" t="s">
        <v>54</v>
      </c>
      <c r="AG33" s="49">
        <v>23000000000</v>
      </c>
      <c r="AH33" s="49">
        <f>AVERAGE(O36,X36,X75,O75)</f>
        <v>29039290.909587886</v>
      </c>
      <c r="AI33" s="53">
        <f>ABS(AH33-$AG$6)/$AG$6</f>
        <v>0.99873742213436578</v>
      </c>
      <c r="AJ33" s="49">
        <v>22851377843</v>
      </c>
      <c r="AK33" s="53">
        <f>ABS(AJ33-$AG$6)/$AG$6</f>
        <v>6.4618329130434783E-3</v>
      </c>
      <c r="AL33" s="49">
        <v>22505642645.25</v>
      </c>
      <c r="AM33" s="53">
        <f>ABS(AL33-$AG$6)/$AG$6</f>
        <v>2.1493798032608695E-2</v>
      </c>
      <c r="AN33" s="49">
        <v>23630978670.25</v>
      </c>
      <c r="AO33" s="53">
        <f>ABS(AN33-$AG$6)/$AG$6</f>
        <v>2.7433855228260869E-2</v>
      </c>
      <c r="AP33" s="49">
        <v>23067962508</v>
      </c>
      <c r="AQ33" s="53">
        <f>ABS(AP33-$AG$6)/$AG$6</f>
        <v>2.9548916521739133E-3</v>
      </c>
      <c r="AR33" s="49">
        <v>22019361053.5</v>
      </c>
      <c r="AS33" s="53">
        <f>ABS(AR33-$AG$6)/$AG$6</f>
        <v>4.2636475934782606E-2</v>
      </c>
    </row>
    <row r="34" spans="2:45" ht="15" thickTop="1" thickBot="1" x14ac:dyDescent="0.5">
      <c r="B34" s="23" t="s">
        <v>23</v>
      </c>
      <c r="C34" s="23"/>
      <c r="D34" s="24"/>
      <c r="E34" s="24"/>
      <c r="F34" s="24"/>
      <c r="G34" s="24"/>
      <c r="H34" s="24"/>
      <c r="I34" s="24"/>
      <c r="K34" s="30"/>
      <c r="M34" s="16" t="s">
        <v>5</v>
      </c>
      <c r="N34" s="17">
        <v>15000000</v>
      </c>
      <c r="O34" s="18">
        <v>15747418.698703701</v>
      </c>
      <c r="P34" s="18">
        <v>17156289.680335801</v>
      </c>
      <c r="Q34" s="18">
        <v>15635723.4449839</v>
      </c>
      <c r="R34" s="17">
        <v>15414695.019652</v>
      </c>
      <c r="S34" s="17">
        <v>36419113.525556199</v>
      </c>
      <c r="T34" s="18">
        <v>17991767.629999999</v>
      </c>
      <c r="V34" s="16" t="s">
        <v>5</v>
      </c>
      <c r="W34" s="17">
        <v>15000000</v>
      </c>
      <c r="X34" s="18">
        <v>30593450.198578801</v>
      </c>
      <c r="Y34" s="18">
        <v>14154935.7077074</v>
      </c>
      <c r="Z34" s="18">
        <v>13507377.074247001</v>
      </c>
      <c r="AA34" s="17">
        <v>20588904.780000001</v>
      </c>
      <c r="AB34" s="17">
        <v>47519790.502530999</v>
      </c>
      <c r="AC34" s="18">
        <v>25349768.3720407</v>
      </c>
      <c r="AF34" s="50" t="s">
        <v>47</v>
      </c>
      <c r="AG34" s="51">
        <v>0.2</v>
      </c>
      <c r="AH34" s="41">
        <f>AVERAGE(O38,X38,X77,O77)</f>
        <v>21700205.26560105</v>
      </c>
      <c r="AI34" s="53">
        <f>ABS(AH34-$AG$7)/$AG$7</f>
        <v>108501025.32800525</v>
      </c>
      <c r="AJ34" s="41">
        <v>0.15302740000000001</v>
      </c>
      <c r="AK34" s="53">
        <f>ABS(AJ34-$AG$7)/$AG$7</f>
        <v>0.23486300000000002</v>
      </c>
      <c r="AL34" s="41">
        <v>0.44901490999999999</v>
      </c>
      <c r="AM34" s="53">
        <f>ABS(AL34-$AG$7)/$AG$7</f>
        <v>1.2450745499999998</v>
      </c>
      <c r="AN34" s="41">
        <v>0.22188005999999999</v>
      </c>
      <c r="AO34" s="53">
        <f>ABS(AN34-$AG$7)/$AG$7</f>
        <v>0.10940029999999989</v>
      </c>
      <c r="AP34" s="41">
        <v>0.23858159750000002</v>
      </c>
      <c r="AQ34" s="53">
        <f>ABS(AP34-$AG$7)/$AG$7</f>
        <v>0.19290798750000004</v>
      </c>
      <c r="AR34" s="41">
        <v>0.38170453499999996</v>
      </c>
      <c r="AS34" s="53">
        <f>ABS(AR34-$AG$7)/$AG$7</f>
        <v>0.90852267499999972</v>
      </c>
    </row>
    <row r="35" spans="2:45" ht="15" thickTop="1" thickBot="1" x14ac:dyDescent="0.5">
      <c r="B35" s="65" t="s">
        <v>20</v>
      </c>
      <c r="C35" s="65"/>
      <c r="D35" s="65"/>
      <c r="E35" s="65"/>
      <c r="F35" s="65"/>
      <c r="G35" s="65"/>
      <c r="H35" s="65"/>
      <c r="I35" s="65"/>
      <c r="K35" s="30"/>
      <c r="M35" s="19" t="s">
        <v>15</v>
      </c>
      <c r="N35" s="19"/>
      <c r="O35" s="26">
        <f t="shared" ref="O35:T35" si="30">ABS($C$28-O34)/$C$28</f>
        <v>4.982791324691338E-2</v>
      </c>
      <c r="P35" s="26">
        <f t="shared" si="30"/>
        <v>0.14375264535572008</v>
      </c>
      <c r="Q35" s="26">
        <f t="shared" si="30"/>
        <v>4.238156299892664E-2</v>
      </c>
      <c r="R35" s="26">
        <f t="shared" si="30"/>
        <v>2.7646334643466646E-2</v>
      </c>
      <c r="S35" s="26">
        <f t="shared" si="30"/>
        <v>1.4279409017037465</v>
      </c>
      <c r="T35" s="26">
        <f t="shared" si="30"/>
        <v>0.19945117533333326</v>
      </c>
      <c r="V35" s="19" t="s">
        <v>15</v>
      </c>
      <c r="W35" s="19"/>
      <c r="X35" s="26">
        <f t="shared" ref="X35:AC35" si="31">ABS($C$28-X34)/$C$28</f>
        <v>1.0395633465719201</v>
      </c>
      <c r="Y35" s="26">
        <f t="shared" si="31"/>
        <v>5.6337619486173364E-2</v>
      </c>
      <c r="Z35" s="26">
        <f t="shared" si="31"/>
        <v>9.9508195050199949E-2</v>
      </c>
      <c r="AA35" s="26">
        <f t="shared" si="31"/>
        <v>0.37259365200000005</v>
      </c>
      <c r="AB35" s="26">
        <f t="shared" si="31"/>
        <v>2.1679860335020664</v>
      </c>
      <c r="AC35" s="26">
        <f t="shared" si="31"/>
        <v>0.68998455813604664</v>
      </c>
      <c r="AF35" s="50" t="s">
        <v>52</v>
      </c>
      <c r="AG35" s="41">
        <v>2500</v>
      </c>
      <c r="AH35" s="41" t="e">
        <f>AVERAGE(O40,X40,X79,O79)</f>
        <v>#DIV/0!</v>
      </c>
      <c r="AI35" s="53" t="e">
        <f>ABS(AH35-$AG$8)/$AG$8</f>
        <v>#DIV/0!</v>
      </c>
      <c r="AJ35" s="49">
        <v>2542.1136514999998</v>
      </c>
      <c r="AK35" s="53">
        <f>ABS(AJ35-$AG$8)/$AG$8</f>
        <v>1.6845460599999935E-2</v>
      </c>
      <c r="AL35" s="41">
        <v>2518.4542150000002</v>
      </c>
      <c r="AM35" s="53">
        <f>ABS(AL35-$AG$8)/$AG$8</f>
        <v>7.3816860000000817E-3</v>
      </c>
      <c r="AN35" s="49">
        <v>2558.7703092500001</v>
      </c>
      <c r="AO35" s="53">
        <f>ABS(AN35-$AG$8)/$AG$8</f>
        <v>2.3508123700000032E-2</v>
      </c>
      <c r="AP35" s="41">
        <v>2504.35520275</v>
      </c>
      <c r="AQ35" s="53">
        <f>ABS(AP35-$AG$8)/$AG$8</f>
        <v>1.7420810999999958E-3</v>
      </c>
      <c r="AR35" s="49">
        <v>2505.4334847499999</v>
      </c>
      <c r="AS35" s="53">
        <f>ABS(AR35-$AG$8)/$AG$8</f>
        <v>2.1733938999999734E-3</v>
      </c>
    </row>
    <row r="36" spans="2:45" ht="14.65" thickTop="1" x14ac:dyDescent="0.45">
      <c r="B36" s="6" t="s">
        <v>16</v>
      </c>
      <c r="C36" s="66">
        <v>50</v>
      </c>
      <c r="D36" s="66"/>
      <c r="E36" s="66"/>
      <c r="F36" s="6" t="s">
        <v>17</v>
      </c>
      <c r="G36" s="66">
        <v>30</v>
      </c>
      <c r="H36" s="66"/>
      <c r="I36" s="66"/>
      <c r="K36" s="30"/>
      <c r="M36" s="3" t="s">
        <v>6</v>
      </c>
      <c r="N36" s="5">
        <v>18000000</v>
      </c>
      <c r="O36" s="22">
        <v>22957950.380141102</v>
      </c>
      <c r="P36" s="22">
        <v>18488668.1793475</v>
      </c>
      <c r="Q36" s="22">
        <v>23835117.702722002</v>
      </c>
      <c r="R36" s="5">
        <v>20430309.373063602</v>
      </c>
      <c r="S36" s="5">
        <v>42129944.265005797</v>
      </c>
      <c r="T36" s="22">
        <v>23176424.449999999</v>
      </c>
      <c r="V36" s="3" t="s">
        <v>6</v>
      </c>
      <c r="W36" s="5">
        <v>18000000</v>
      </c>
      <c r="X36" s="22">
        <v>52028857.604240797</v>
      </c>
      <c r="Y36" s="22">
        <v>33715120.547013298</v>
      </c>
      <c r="Z36" s="22">
        <v>28497603.584289901</v>
      </c>
      <c r="AA36" s="5">
        <v>17623601.34</v>
      </c>
      <c r="AB36" s="5">
        <v>43540173.997501403</v>
      </c>
      <c r="AC36" s="22">
        <v>40502711.066023402</v>
      </c>
      <c r="AF36" s="48" t="s">
        <v>50</v>
      </c>
      <c r="AG36" s="49">
        <v>10000000</v>
      </c>
      <c r="AH36" s="49" t="e">
        <f>AVERAGE(O42,X42,X81,O81)</f>
        <v>#DIV/0!</v>
      </c>
      <c r="AI36" s="53" t="e">
        <f>ABS(AH36-$AG$9)/$AG$9</f>
        <v>#DIV/0!</v>
      </c>
      <c r="AJ36" s="49">
        <v>11038533.949749999</v>
      </c>
      <c r="AK36" s="53">
        <f>ABS(AJ36-$AG$9)/$AG$9</f>
        <v>0.10385339497499987</v>
      </c>
      <c r="AL36" s="49">
        <v>10009944.442249998</v>
      </c>
      <c r="AM36" s="53">
        <f>ABS(AL36-$AG$9)/$AG$9</f>
        <v>9.9444422499984507E-4</v>
      </c>
      <c r="AN36" s="49">
        <v>10082415.437750001</v>
      </c>
      <c r="AO36" s="53">
        <f>ABS(AN36-$AG$9)/$AG$9</f>
        <v>8.2415437750000507E-3</v>
      </c>
      <c r="AP36" s="49">
        <v>10355064.83</v>
      </c>
      <c r="AQ36" s="53">
        <f>ABS(AP36-$AG$9)/$AG$9</f>
        <v>3.5506483000000005E-2</v>
      </c>
      <c r="AR36" s="49">
        <v>8681039.8512500003</v>
      </c>
      <c r="AS36" s="53">
        <f>ABS(AR36-$AG$9)/$AG$9</f>
        <v>0.13189601487499997</v>
      </c>
    </row>
    <row r="37" spans="2:45" x14ac:dyDescent="0.45">
      <c r="B37" s="2"/>
      <c r="C37" s="1" t="s">
        <v>8</v>
      </c>
      <c r="D37" s="1" t="s">
        <v>9</v>
      </c>
      <c r="E37" s="1" t="s">
        <v>10</v>
      </c>
      <c r="F37" s="1" t="s">
        <v>11</v>
      </c>
      <c r="G37" s="1" t="s">
        <v>12</v>
      </c>
      <c r="H37" s="1" t="s">
        <v>13</v>
      </c>
      <c r="I37" s="1" t="s">
        <v>14</v>
      </c>
      <c r="K37" s="30"/>
      <c r="M37" s="25" t="s">
        <v>15</v>
      </c>
      <c r="N37" s="4"/>
      <c r="O37" s="10">
        <f t="shared" ref="O37:T37" si="32">ABS($C$30-O36)/$C$30</f>
        <v>0.27544168778561678</v>
      </c>
      <c r="P37" s="10">
        <f t="shared" si="32"/>
        <v>2.7148232185972232E-2</v>
      </c>
      <c r="Q37" s="10">
        <f t="shared" si="32"/>
        <v>0.32417320570677788</v>
      </c>
      <c r="R37" s="10">
        <f t="shared" si="32"/>
        <v>0.1350171873924223</v>
      </c>
      <c r="S37" s="10">
        <f t="shared" si="32"/>
        <v>1.3405524591669888</v>
      </c>
      <c r="T37" s="10">
        <f t="shared" si="32"/>
        <v>0.28757913611111108</v>
      </c>
      <c r="V37" s="25" t="s">
        <v>15</v>
      </c>
      <c r="W37" s="4"/>
      <c r="X37" s="10">
        <f t="shared" ref="X37:AC37" si="33">ABS($C$30-X36)/$C$30</f>
        <v>1.8904920891244887</v>
      </c>
      <c r="Y37" s="10">
        <f t="shared" si="33"/>
        <v>0.87306225261184989</v>
      </c>
      <c r="Z37" s="10">
        <f t="shared" si="33"/>
        <v>0.58320019912721677</v>
      </c>
      <c r="AA37" s="10">
        <f t="shared" si="33"/>
        <v>2.0911036666666674E-2</v>
      </c>
      <c r="AB37" s="10">
        <f t="shared" si="33"/>
        <v>1.4188985554167446</v>
      </c>
      <c r="AC37" s="10">
        <f t="shared" si="33"/>
        <v>1.250150614779078</v>
      </c>
      <c r="AF37" s="47" t="s">
        <v>51</v>
      </c>
      <c r="AG37" s="52">
        <v>15000000</v>
      </c>
      <c r="AH37" s="52" t="e">
        <f>AVERAGE(O44,X44,X83,O83)</f>
        <v>#DIV/0!</v>
      </c>
      <c r="AI37" s="54" t="e">
        <f>ABS(AH37-$AG$10)/$AG$10</f>
        <v>#DIV/0!</v>
      </c>
      <c r="AJ37" s="52">
        <v>14877901.75</v>
      </c>
      <c r="AK37" s="54">
        <f>ABS(AJ37-$AG$10)/$AG$10</f>
        <v>8.1398833333333337E-3</v>
      </c>
      <c r="AL37" s="52">
        <v>16982652.800000001</v>
      </c>
      <c r="AM37" s="54">
        <f>ABS(AL37-$AG$10)/$AG$10</f>
        <v>0.13217685333333337</v>
      </c>
      <c r="AN37" s="52">
        <v>15625185.6175</v>
      </c>
      <c r="AO37" s="54">
        <f>ABS(AN37-$AG$10)/$AG$10</f>
        <v>4.1679041166666646E-2</v>
      </c>
      <c r="AP37" s="52">
        <v>14808374.287500001</v>
      </c>
      <c r="AQ37" s="54">
        <f>ABS(AP37-$AG$10)/$AG$10</f>
        <v>1.27750474999999E-2</v>
      </c>
      <c r="AR37" s="52">
        <v>16730350.627500001</v>
      </c>
      <c r="AS37" s="54">
        <f>ABS(AR37-$AG$10)/$AG$10</f>
        <v>0.11535670850000009</v>
      </c>
    </row>
    <row r="38" spans="2:45" x14ac:dyDescent="0.45">
      <c r="B38" s="7" t="s">
        <v>0</v>
      </c>
      <c r="C38" s="8"/>
      <c r="D38" s="12"/>
      <c r="E38" s="11"/>
      <c r="F38" s="12"/>
      <c r="G38" s="14"/>
      <c r="H38" s="15"/>
      <c r="I38" s="14"/>
      <c r="J38" s="27"/>
      <c r="K38" s="31"/>
      <c r="M38" s="16" t="s">
        <v>7</v>
      </c>
      <c r="N38" s="17">
        <v>13000000</v>
      </c>
      <c r="O38" s="17">
        <v>16090444.34</v>
      </c>
      <c r="P38" s="18">
        <v>17880004.760000002</v>
      </c>
      <c r="Q38" s="18">
        <v>8837890.6899999995</v>
      </c>
      <c r="R38" s="17">
        <v>16253258.17</v>
      </c>
      <c r="S38" s="18">
        <v>7503644.5489999996</v>
      </c>
      <c r="T38" s="18">
        <v>21701212.850000001</v>
      </c>
      <c r="V38" s="16" t="s">
        <v>7</v>
      </c>
      <c r="W38" s="17">
        <v>13000000</v>
      </c>
      <c r="X38" s="17">
        <v>27806387.792832501</v>
      </c>
      <c r="Y38" s="18">
        <v>17176462.643679</v>
      </c>
      <c r="Z38" s="18">
        <v>28249411.900838599</v>
      </c>
      <c r="AA38" s="17">
        <v>17385495.859999999</v>
      </c>
      <c r="AB38" s="18">
        <v>36876836.679058403</v>
      </c>
      <c r="AC38" s="18">
        <v>40553872.772248499</v>
      </c>
      <c r="AF38" s="55" t="s">
        <v>0</v>
      </c>
      <c r="AG38" s="56"/>
      <c r="AH38" s="58">
        <v>1.9866605000000002E-2</v>
      </c>
      <c r="AI38" s="58"/>
      <c r="AJ38" s="58">
        <v>0.18960470200000001</v>
      </c>
      <c r="AK38" s="58"/>
      <c r="AL38" s="58">
        <v>0.49940474899999998</v>
      </c>
      <c r="AM38" s="58"/>
      <c r="AN38" s="58">
        <v>1.7828424250000002E-2</v>
      </c>
      <c r="AO38" s="58"/>
      <c r="AP38" s="58">
        <v>0.19627977099999999</v>
      </c>
      <c r="AQ38" s="58"/>
      <c r="AR38" s="58">
        <v>0.63135575575000003</v>
      </c>
      <c r="AS38" s="58"/>
    </row>
    <row r="39" spans="2:45" ht="14.65" thickBot="1" x14ac:dyDescent="0.5">
      <c r="B39" s="16" t="s">
        <v>1</v>
      </c>
      <c r="C39" s="17">
        <v>23000000000</v>
      </c>
      <c r="D39" s="18"/>
      <c r="E39" s="18"/>
      <c r="F39" s="18"/>
      <c r="G39" s="17"/>
      <c r="H39" s="18"/>
      <c r="I39" s="18"/>
      <c r="J39" s="27"/>
      <c r="K39" s="31"/>
      <c r="M39" s="23" t="s">
        <v>15</v>
      </c>
      <c r="N39" s="23"/>
      <c r="O39" s="24">
        <f t="shared" ref="O39:T39" si="34">ABS($C$32-O38)/$C$32</f>
        <v>0.23772648769230767</v>
      </c>
      <c r="P39" s="24">
        <f t="shared" si="34"/>
        <v>0.37538498153846167</v>
      </c>
      <c r="Q39" s="24">
        <f t="shared" si="34"/>
        <v>0.32016225461538467</v>
      </c>
      <c r="R39" s="24">
        <f t="shared" si="34"/>
        <v>0.25025062846153845</v>
      </c>
      <c r="S39" s="24">
        <f t="shared" si="34"/>
        <v>0.42279657315384617</v>
      </c>
      <c r="T39" s="24">
        <f t="shared" si="34"/>
        <v>0.66932406538461553</v>
      </c>
      <c r="V39" s="23" t="s">
        <v>15</v>
      </c>
      <c r="W39" s="23"/>
      <c r="X39" s="24">
        <f t="shared" ref="X39:AC39" si="35">ABS($C$32-X38)/$C$32</f>
        <v>1.1389529071409616</v>
      </c>
      <c r="Y39" s="24">
        <f t="shared" si="35"/>
        <v>0.32126635720607694</v>
      </c>
      <c r="Z39" s="24">
        <f t="shared" si="35"/>
        <v>1.1730316846798923</v>
      </c>
      <c r="AA39" s="24">
        <f t="shared" si="35"/>
        <v>0.33734583538461532</v>
      </c>
      <c r="AB39" s="24">
        <f t="shared" si="35"/>
        <v>1.8366797445429541</v>
      </c>
      <c r="AC39" s="24">
        <f t="shared" si="35"/>
        <v>2.1195286747883459</v>
      </c>
      <c r="AF39" s="38"/>
      <c r="AG39" s="41"/>
      <c r="AH39" s="41"/>
      <c r="AI39" s="42"/>
      <c r="AJ39" s="42"/>
      <c r="AK39" s="43"/>
      <c r="AL39" s="43"/>
      <c r="AM39" s="42"/>
      <c r="AN39" s="42"/>
      <c r="AO39" s="39"/>
      <c r="AP39" s="39"/>
      <c r="AQ39" s="39"/>
      <c r="AR39" s="39"/>
      <c r="AS39" s="40"/>
    </row>
    <row r="40" spans="2:45" ht="14.65" thickTop="1" x14ac:dyDescent="0.45">
      <c r="B40" s="19" t="s">
        <v>18</v>
      </c>
      <c r="C40" s="19"/>
      <c r="D40" s="13">
        <f t="shared" ref="D40:I40" si="36">ABS($C$5-D39)/$C$5</f>
        <v>1</v>
      </c>
      <c r="E40" s="13">
        <f t="shared" si="36"/>
        <v>1</v>
      </c>
      <c r="F40" s="13">
        <f t="shared" si="36"/>
        <v>1</v>
      </c>
      <c r="G40" s="13">
        <f t="shared" si="36"/>
        <v>1</v>
      </c>
      <c r="H40" s="13">
        <f t="shared" si="36"/>
        <v>1</v>
      </c>
      <c r="I40" s="13">
        <f t="shared" si="36"/>
        <v>1</v>
      </c>
      <c r="J40" s="27"/>
      <c r="K40" s="31"/>
      <c r="AF40" s="38"/>
      <c r="AG40" s="41"/>
      <c r="AH40" s="41"/>
      <c r="AI40" s="44"/>
      <c r="AJ40" s="44"/>
      <c r="AK40" s="45"/>
      <c r="AL40" s="45"/>
      <c r="AM40" s="44"/>
      <c r="AN40" s="44"/>
      <c r="AO40" s="40"/>
      <c r="AP40" s="40"/>
      <c r="AQ40" s="40"/>
      <c r="AR40" s="40"/>
      <c r="AS40" s="40"/>
    </row>
    <row r="41" spans="2:45" ht="14.65" thickBot="1" x14ac:dyDescent="0.5">
      <c r="B41" s="3" t="s">
        <v>2</v>
      </c>
      <c r="C41" s="4">
        <v>0.2</v>
      </c>
      <c r="D41" s="20"/>
      <c r="E41" s="14"/>
      <c r="F41" s="14"/>
      <c r="G41" s="14"/>
      <c r="H41" s="14"/>
      <c r="I41" s="14"/>
      <c r="K41" s="30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</row>
    <row r="42" spans="2:45" ht="15" thickTop="1" thickBot="1" x14ac:dyDescent="0.5">
      <c r="B42" s="25" t="s">
        <v>18</v>
      </c>
      <c r="C42" s="4"/>
      <c r="D42" s="9">
        <f t="shared" ref="D42:I42" si="37">ABS($C$7-D41)/$C$7</f>
        <v>1</v>
      </c>
      <c r="E42" s="9">
        <f t="shared" si="37"/>
        <v>1</v>
      </c>
      <c r="F42" s="9">
        <f t="shared" si="37"/>
        <v>1</v>
      </c>
      <c r="G42" s="9">
        <f t="shared" si="37"/>
        <v>1</v>
      </c>
      <c r="H42" s="9">
        <f t="shared" si="37"/>
        <v>1</v>
      </c>
      <c r="I42" s="9">
        <f t="shared" si="37"/>
        <v>1</v>
      </c>
      <c r="K42" s="30"/>
      <c r="M42" s="65" t="s">
        <v>29</v>
      </c>
      <c r="N42" s="65"/>
      <c r="O42" s="65"/>
      <c r="P42" s="65"/>
      <c r="Q42" s="65"/>
      <c r="R42" s="65"/>
      <c r="S42" s="65"/>
      <c r="T42" s="65"/>
      <c r="V42" s="65" t="s">
        <v>33</v>
      </c>
      <c r="W42" s="65"/>
      <c r="X42" s="65"/>
      <c r="Y42" s="65"/>
      <c r="Z42" s="65"/>
      <c r="AA42" s="65"/>
      <c r="AB42" s="65"/>
      <c r="AC42" s="65"/>
      <c r="AF42" s="59" t="s">
        <v>58</v>
      </c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</row>
    <row r="43" spans="2:45" ht="14.65" thickTop="1" x14ac:dyDescent="0.45">
      <c r="B43" s="16" t="s">
        <v>3</v>
      </c>
      <c r="C43" s="19">
        <v>2500</v>
      </c>
      <c r="D43" s="21"/>
      <c r="E43" s="21"/>
      <c r="F43" s="21"/>
      <c r="G43" s="21"/>
      <c r="H43" s="21"/>
      <c r="I43" s="21"/>
      <c r="K43" s="30"/>
      <c r="M43" s="6" t="s">
        <v>16</v>
      </c>
      <c r="N43" s="66">
        <v>50</v>
      </c>
      <c r="O43" s="66"/>
      <c r="P43" s="66"/>
      <c r="Q43" s="6" t="s">
        <v>17</v>
      </c>
      <c r="R43" s="66">
        <v>30</v>
      </c>
      <c r="S43" s="66"/>
      <c r="T43" s="66"/>
      <c r="V43" s="6" t="s">
        <v>16</v>
      </c>
      <c r="W43" s="66">
        <v>50</v>
      </c>
      <c r="X43" s="66"/>
      <c r="Y43" s="66"/>
      <c r="Z43" s="6" t="s">
        <v>17</v>
      </c>
      <c r="AA43" s="66">
        <v>30</v>
      </c>
      <c r="AB43" s="66"/>
      <c r="AC43" s="66"/>
      <c r="AF43" s="60" t="s">
        <v>44</v>
      </c>
      <c r="AG43" s="62" t="s">
        <v>37</v>
      </c>
      <c r="AH43" s="64" t="s">
        <v>39</v>
      </c>
      <c r="AI43" s="64"/>
      <c r="AJ43" s="64" t="s">
        <v>38</v>
      </c>
      <c r="AK43" s="64"/>
      <c r="AL43" s="64" t="s">
        <v>40</v>
      </c>
      <c r="AM43" s="64"/>
      <c r="AN43" s="64" t="s">
        <v>41</v>
      </c>
      <c r="AO43" s="64"/>
      <c r="AP43" s="64" t="s">
        <v>42</v>
      </c>
      <c r="AQ43" s="64"/>
      <c r="AR43" s="64" t="s">
        <v>43</v>
      </c>
      <c r="AS43" s="64"/>
    </row>
    <row r="44" spans="2:45" ht="23.25" x14ac:dyDescent="0.45">
      <c r="B44" s="16" t="s">
        <v>15</v>
      </c>
      <c r="C44" s="19"/>
      <c r="D44" s="13">
        <f t="shared" ref="D44:I44" si="38">ABS($C$9-D43)/$C$9</f>
        <v>1</v>
      </c>
      <c r="E44" s="13">
        <f t="shared" si="38"/>
        <v>1</v>
      </c>
      <c r="F44" s="13">
        <f t="shared" si="38"/>
        <v>1</v>
      </c>
      <c r="G44" s="13">
        <f t="shared" si="38"/>
        <v>1</v>
      </c>
      <c r="H44" s="13">
        <f t="shared" si="38"/>
        <v>1</v>
      </c>
      <c r="I44" s="13">
        <f t="shared" si="38"/>
        <v>1</v>
      </c>
      <c r="K44" s="30"/>
      <c r="M44" s="2"/>
      <c r="N44" s="1" t="s">
        <v>8</v>
      </c>
      <c r="O44" s="1" t="s">
        <v>9</v>
      </c>
      <c r="P44" s="1" t="s">
        <v>10</v>
      </c>
      <c r="Q44" s="1" t="s">
        <v>11</v>
      </c>
      <c r="R44" s="1" t="s">
        <v>12</v>
      </c>
      <c r="S44" s="1" t="s">
        <v>13</v>
      </c>
      <c r="T44" s="1" t="s">
        <v>14</v>
      </c>
      <c r="V44" s="2"/>
      <c r="W44" s="1" t="s">
        <v>8</v>
      </c>
      <c r="X44" s="1" t="s">
        <v>9</v>
      </c>
      <c r="Y44" s="1" t="s">
        <v>10</v>
      </c>
      <c r="Z44" s="1" t="s">
        <v>11</v>
      </c>
      <c r="AA44" s="1" t="s">
        <v>12</v>
      </c>
      <c r="AB44" s="1" t="s">
        <v>13</v>
      </c>
      <c r="AC44" s="1" t="s">
        <v>14</v>
      </c>
      <c r="AF44" s="61"/>
      <c r="AG44" s="63"/>
      <c r="AH44" s="57" t="s">
        <v>45</v>
      </c>
      <c r="AI44" s="57" t="s">
        <v>46</v>
      </c>
      <c r="AJ44" s="57" t="s">
        <v>45</v>
      </c>
      <c r="AK44" s="57" t="s">
        <v>46</v>
      </c>
      <c r="AL44" s="57" t="s">
        <v>45</v>
      </c>
      <c r="AM44" s="57" t="s">
        <v>46</v>
      </c>
      <c r="AN44" s="57" t="s">
        <v>45</v>
      </c>
      <c r="AO44" s="57" t="s">
        <v>46</v>
      </c>
      <c r="AP44" s="57" t="s">
        <v>45</v>
      </c>
      <c r="AQ44" s="57" t="s">
        <v>46</v>
      </c>
      <c r="AR44" s="57" t="s">
        <v>45</v>
      </c>
      <c r="AS44" s="57" t="s">
        <v>46</v>
      </c>
    </row>
    <row r="45" spans="2:45" x14ac:dyDescent="0.45">
      <c r="B45" s="3" t="s">
        <v>4</v>
      </c>
      <c r="C45" s="5">
        <v>10000000</v>
      </c>
      <c r="D45" s="22"/>
      <c r="E45" s="22"/>
      <c r="F45" s="22"/>
      <c r="G45" s="5"/>
      <c r="H45" s="5"/>
      <c r="I45" s="22"/>
      <c r="K45" s="30"/>
      <c r="M45" s="7" t="s">
        <v>0</v>
      </c>
      <c r="N45" s="8"/>
      <c r="O45" s="34">
        <v>1.23110724108899E-2</v>
      </c>
      <c r="P45" s="29">
        <v>0.20194655428157501</v>
      </c>
      <c r="Q45" s="29">
        <v>0.58670285040517201</v>
      </c>
      <c r="R45" s="34">
        <v>3.9455059776419199E-3</v>
      </c>
      <c r="S45" s="29">
        <v>0.21518157511594299</v>
      </c>
      <c r="T45" s="29">
        <v>0.65826571133933098</v>
      </c>
      <c r="V45" s="7" t="s">
        <v>0</v>
      </c>
      <c r="W45" s="8"/>
      <c r="X45" s="35">
        <v>1.8941062875005899E-2</v>
      </c>
      <c r="Y45" s="35">
        <v>0.13638384071497101</v>
      </c>
      <c r="Z45" s="35">
        <v>0.53922791840184203</v>
      </c>
      <c r="AA45" s="35">
        <v>1.16805249637572E-2</v>
      </c>
      <c r="AB45" s="35">
        <v>0.14728580215978501</v>
      </c>
      <c r="AC45" s="29">
        <v>0.60498623173292199</v>
      </c>
      <c r="AF45" s="48" t="s">
        <v>49</v>
      </c>
      <c r="AG45" s="49">
        <v>23000000000</v>
      </c>
      <c r="AH45" s="49">
        <v>24000841046.5</v>
      </c>
      <c r="AI45" s="53">
        <f>ABS(AH45-$AG$6)/$AG$6</f>
        <v>4.3514828108695655E-2</v>
      </c>
      <c r="AJ45" s="49">
        <v>23189623356.5</v>
      </c>
      <c r="AK45" s="53">
        <f>ABS(AJ45-$AG$6)/$AG$6</f>
        <v>8.2444937608695656E-3</v>
      </c>
      <c r="AL45" s="49">
        <v>22880033234</v>
      </c>
      <c r="AM45" s="53">
        <f>ABS(AL45-$AG$6)/$AG$6</f>
        <v>5.2159463478260873E-3</v>
      </c>
      <c r="AN45" s="49">
        <v>24065462063.25</v>
      </c>
      <c r="AO45" s="53">
        <f>ABS(AN45-$AG$6)/$AG$6</f>
        <v>4.6324437532608696E-2</v>
      </c>
      <c r="AP45" s="49">
        <v>23494045537.75</v>
      </c>
      <c r="AQ45" s="53">
        <f>ABS(AP45-$AG$6)/$AG$6</f>
        <v>2.1480240771739132E-2</v>
      </c>
      <c r="AR45" s="49">
        <v>23266427455.5</v>
      </c>
      <c r="AS45" s="53">
        <f>ABS(AR45-$AG$6)/$AG$6</f>
        <v>1.1583802413043479E-2</v>
      </c>
    </row>
    <row r="46" spans="2:45" x14ac:dyDescent="0.45">
      <c r="B46" s="25" t="s">
        <v>18</v>
      </c>
      <c r="C46" s="4"/>
      <c r="D46" s="10">
        <f t="shared" ref="D46:I46" si="39">ABS($C$11-D45)/$C$11</f>
        <v>1</v>
      </c>
      <c r="E46" s="10">
        <f t="shared" si="39"/>
        <v>1</v>
      </c>
      <c r="F46" s="10">
        <f t="shared" si="39"/>
        <v>1</v>
      </c>
      <c r="G46" s="10">
        <f t="shared" si="39"/>
        <v>1</v>
      </c>
      <c r="H46" s="10">
        <f t="shared" si="39"/>
        <v>1</v>
      </c>
      <c r="I46" s="10">
        <f t="shared" si="39"/>
        <v>1</v>
      </c>
      <c r="K46" s="30"/>
      <c r="M46" s="4" t="s">
        <v>24</v>
      </c>
      <c r="N46" s="20"/>
      <c r="O46" s="14"/>
      <c r="P46" s="15"/>
      <c r="Q46" s="14"/>
      <c r="R46" s="29">
        <v>3.83976465890205E-3</v>
      </c>
      <c r="S46" s="29">
        <v>0.19716536362944601</v>
      </c>
      <c r="T46" s="29">
        <v>0.59460820620852295</v>
      </c>
      <c r="V46" s="4" t="s">
        <v>24</v>
      </c>
      <c r="W46" s="20"/>
      <c r="X46" s="28"/>
      <c r="Y46" s="36"/>
      <c r="Z46" s="28"/>
      <c r="AA46" s="35">
        <v>1.15718859930892E-2</v>
      </c>
      <c r="AB46" s="35">
        <v>0.13353671217813301</v>
      </c>
      <c r="AC46" s="29">
        <v>0.54085259211810399</v>
      </c>
      <c r="AF46" s="50" t="s">
        <v>47</v>
      </c>
      <c r="AG46" s="51">
        <v>0.2</v>
      </c>
      <c r="AH46" s="41">
        <v>0.17098029000000001</v>
      </c>
      <c r="AI46" s="53">
        <f>ABS(AH46-$AG$7)/$AG$7</f>
        <v>0.14509855000000002</v>
      </c>
      <c r="AJ46" s="41">
        <v>0.14892119749999999</v>
      </c>
      <c r="AK46" s="53">
        <f>ABS(AJ46-$AG$7)/$AG$7</f>
        <v>0.2553940125000001</v>
      </c>
      <c r="AL46" s="41">
        <v>0.251444995</v>
      </c>
      <c r="AM46" s="53">
        <f>ABS(AL46-$AG$7)/$AG$7</f>
        <v>0.25722497499999997</v>
      </c>
      <c r="AN46" s="41">
        <v>0.124611655</v>
      </c>
      <c r="AO46" s="53">
        <f>ABS(AN46-$AG$7)/$AG$7</f>
        <v>0.37694172500000001</v>
      </c>
      <c r="AP46" s="41">
        <v>0.11537019999999999</v>
      </c>
      <c r="AQ46" s="53">
        <f>ABS(AP46-$AG$7)/$AG$7</f>
        <v>0.42314900000000005</v>
      </c>
      <c r="AR46" s="41">
        <v>0.11896488500000001</v>
      </c>
      <c r="AS46" s="53">
        <f>ABS(AR46-$AG$7)/$AG$7</f>
        <v>0.40517557500000001</v>
      </c>
    </row>
    <row r="47" spans="2:45" x14ac:dyDescent="0.45">
      <c r="B47" s="16" t="s">
        <v>5</v>
      </c>
      <c r="C47" s="17">
        <v>15000000</v>
      </c>
      <c r="D47" s="17"/>
      <c r="E47" s="18"/>
      <c r="F47" s="18"/>
      <c r="G47" s="17"/>
      <c r="H47" s="18"/>
      <c r="I47" s="18"/>
      <c r="K47" s="30"/>
      <c r="M47" s="4" t="s">
        <v>27</v>
      </c>
      <c r="N47" s="20"/>
      <c r="O47" s="14"/>
      <c r="P47" s="15"/>
      <c r="Q47" s="14"/>
      <c r="R47" s="29">
        <v>1.0574131873986E-4</v>
      </c>
      <c r="S47" s="29">
        <v>1.80162114864965E-2</v>
      </c>
      <c r="T47" s="29">
        <v>6.3657505130808006E-2</v>
      </c>
      <c r="V47" s="4" t="s">
        <v>27</v>
      </c>
      <c r="W47" s="20"/>
      <c r="X47" s="14"/>
      <c r="Y47" s="15"/>
      <c r="Z47" s="14"/>
      <c r="AA47" s="29">
        <v>1.08639E-4</v>
      </c>
      <c r="AB47" s="29">
        <v>1.3749089981651899E-2</v>
      </c>
      <c r="AC47" s="29">
        <v>6.4133639614817203E-2</v>
      </c>
      <c r="AF47" s="50" t="s">
        <v>52</v>
      </c>
      <c r="AG47" s="41">
        <v>2500</v>
      </c>
      <c r="AH47" s="41">
        <v>2545.9001257499999</v>
      </c>
      <c r="AI47" s="53">
        <f>ABS(AH47-$AG$8)/$AG$8</f>
        <v>1.8360050299999965E-2</v>
      </c>
      <c r="AJ47" s="49">
        <v>2507.9648849999999</v>
      </c>
      <c r="AK47" s="53">
        <f>ABS(AJ47-$AG$8)/$AG$8</f>
        <v>3.185953999999947E-3</v>
      </c>
      <c r="AL47" s="41">
        <v>2545.2702995</v>
      </c>
      <c r="AM47" s="53">
        <f>ABS(AL47-$AG$8)/$AG$8</f>
        <v>1.8108119799999985E-2</v>
      </c>
      <c r="AN47" s="49">
        <v>2577.12696125</v>
      </c>
      <c r="AO47" s="53">
        <f>ABS(AN47-$AG$8)/$AG$8</f>
        <v>3.0850784500000009E-2</v>
      </c>
      <c r="AP47" s="41">
        <v>2509.5619397500004</v>
      </c>
      <c r="AQ47" s="53">
        <f>ABS(AP47-$AG$8)/$AG$8</f>
        <v>3.824775900000168E-3</v>
      </c>
      <c r="AR47" s="49">
        <v>2576.0098429999998</v>
      </c>
      <c r="AS47" s="53">
        <f>ABS(AR47-$AG$8)/$AG$8</f>
        <v>3.0403937199999929E-2</v>
      </c>
    </row>
    <row r="48" spans="2:45" ht="14.65" thickBot="1" x14ac:dyDescent="0.5">
      <c r="B48" s="23" t="s">
        <v>18</v>
      </c>
      <c r="C48" s="23"/>
      <c r="D48" s="24">
        <f t="shared" ref="D48:I48" si="40">ABS($C$13-D47)/$C$13</f>
        <v>1</v>
      </c>
      <c r="E48" s="24">
        <f t="shared" si="40"/>
        <v>1</v>
      </c>
      <c r="F48" s="24">
        <f t="shared" si="40"/>
        <v>1</v>
      </c>
      <c r="G48" s="24">
        <f t="shared" si="40"/>
        <v>1</v>
      </c>
      <c r="H48" s="24">
        <f t="shared" si="40"/>
        <v>1</v>
      </c>
      <c r="I48" s="24">
        <f t="shared" si="40"/>
        <v>1</v>
      </c>
      <c r="K48" s="30"/>
      <c r="M48" s="16" t="s">
        <v>1</v>
      </c>
      <c r="N48" s="17">
        <v>23000000000</v>
      </c>
      <c r="O48" s="17">
        <v>23413474968.040901</v>
      </c>
      <c r="P48" s="17">
        <v>22494758057.571999</v>
      </c>
      <c r="Q48" s="17">
        <v>21792791837.732601</v>
      </c>
      <c r="R48" s="17">
        <v>23666513350.762798</v>
      </c>
      <c r="S48" s="17">
        <v>22233255678.657799</v>
      </c>
      <c r="T48" s="17">
        <v>20483736917.2868</v>
      </c>
      <c r="V48" s="16" t="s">
        <v>1</v>
      </c>
      <c r="W48" s="17">
        <v>23000000000</v>
      </c>
      <c r="X48" s="17">
        <v>23875026750.670898</v>
      </c>
      <c r="Y48" s="17">
        <v>23641868558.511902</v>
      </c>
      <c r="Z48" s="17">
        <v>25892954393.3316</v>
      </c>
      <c r="AA48" s="17">
        <v>22597620969.733898</v>
      </c>
      <c r="AB48" s="17">
        <v>23951063125.438099</v>
      </c>
      <c r="AC48" s="17">
        <v>26021359007.374599</v>
      </c>
      <c r="AF48" s="48" t="s">
        <v>50</v>
      </c>
      <c r="AG48" s="49">
        <v>10000000</v>
      </c>
      <c r="AH48" s="49">
        <v>5898049.7185000004</v>
      </c>
      <c r="AI48" s="53">
        <f>ABS(AH48-$AG$9)/$AG$9</f>
        <v>0.41019502814999997</v>
      </c>
      <c r="AJ48" s="49">
        <v>8931678.8735000007</v>
      </c>
      <c r="AK48" s="53">
        <f>ABS(AJ48-$AG$9)/$AG$9</f>
        <v>0.10683211264999994</v>
      </c>
      <c r="AL48" s="49">
        <v>7285528.1270000003</v>
      </c>
      <c r="AM48" s="53">
        <f>ABS(AL48-$AG$9)/$AG$9</f>
        <v>0.27144718729999995</v>
      </c>
      <c r="AN48" s="49">
        <v>8857264.7157500014</v>
      </c>
      <c r="AO48" s="53">
        <f>ABS(AN48-$AG$9)/$AG$9</f>
        <v>0.11427352842499987</v>
      </c>
      <c r="AP48" s="49">
        <v>5662186.6705</v>
      </c>
      <c r="AQ48" s="53">
        <f>ABS(AP48-$AG$9)/$AG$9</f>
        <v>0.43378133294999999</v>
      </c>
      <c r="AR48" s="49">
        <v>8636358.9294999987</v>
      </c>
      <c r="AS48" s="53">
        <f>ABS(AR48-$AG$9)/$AG$9</f>
        <v>0.13636410705000013</v>
      </c>
    </row>
    <row r="49" spans="2:45" ht="14.65" thickTop="1" x14ac:dyDescent="0.45">
      <c r="B49" s="68" t="s">
        <v>21</v>
      </c>
      <c r="C49" s="68"/>
      <c r="D49" s="68"/>
      <c r="E49" s="68"/>
      <c r="F49" s="68"/>
      <c r="G49" s="68"/>
      <c r="H49" s="68"/>
      <c r="I49" s="68"/>
      <c r="K49" s="30"/>
      <c r="M49" s="19" t="s">
        <v>18</v>
      </c>
      <c r="N49" s="19"/>
      <c r="O49" s="13">
        <f t="shared" ref="O49:T49" si="41">ABS($C$5-O48)/$C$5</f>
        <v>1.7977172523517444E-2</v>
      </c>
      <c r="P49" s="13">
        <f t="shared" si="41"/>
        <v>2.1967040975130497E-2</v>
      </c>
      <c r="Q49" s="13">
        <f t="shared" si="41"/>
        <v>5.2487311402930385E-2</v>
      </c>
      <c r="R49" s="13">
        <f t="shared" si="41"/>
        <v>2.8978841337512971E-2</v>
      </c>
      <c r="S49" s="13">
        <f t="shared" si="41"/>
        <v>3.3336709623573969E-2</v>
      </c>
      <c r="T49" s="13">
        <f t="shared" si="41"/>
        <v>0.10940274272666085</v>
      </c>
      <c r="V49" s="19" t="s">
        <v>18</v>
      </c>
      <c r="W49" s="19"/>
      <c r="X49" s="13">
        <f t="shared" ref="X49:AC49" si="42">ABS($C$5-X48)/$C$5</f>
        <v>3.8044641333517322E-2</v>
      </c>
      <c r="Y49" s="13">
        <f t="shared" si="42"/>
        <v>2.7907328630952254E-2</v>
      </c>
      <c r="Z49" s="13">
        <f t="shared" si="42"/>
        <v>0.12578062579702609</v>
      </c>
      <c r="AA49" s="13">
        <f t="shared" si="42"/>
        <v>1.7494740446352255E-2</v>
      </c>
      <c r="AB49" s="13">
        <f t="shared" si="42"/>
        <v>4.1350570671221692E-2</v>
      </c>
      <c r="AC49" s="13">
        <f t="shared" si="42"/>
        <v>0.13136343510324344</v>
      </c>
      <c r="AF49" s="48" t="s">
        <v>51</v>
      </c>
      <c r="AG49" s="49">
        <v>15000000</v>
      </c>
      <c r="AH49" s="49">
        <v>21835788.184999999</v>
      </c>
      <c r="AI49" s="53">
        <f>ABS(AH49-$AG$9)/$AG$9</f>
        <v>1.1835788184999998</v>
      </c>
      <c r="AJ49" s="49">
        <v>16443755.2425</v>
      </c>
      <c r="AK49" s="53">
        <f>ABS(AJ49-$AG$9)/$AG$9</f>
        <v>0.64437552425</v>
      </c>
      <c r="AL49" s="49">
        <v>15188678.297499999</v>
      </c>
      <c r="AM49" s="53">
        <f>ABS(AL49-$AG$9)/$AG$9</f>
        <v>0.5188678297499999</v>
      </c>
      <c r="AN49" s="49">
        <v>16609150.550000001</v>
      </c>
      <c r="AO49" s="53">
        <f>ABS(AN49-$AG$9)/$AG$9</f>
        <v>0.66091505500000003</v>
      </c>
      <c r="AP49" s="49">
        <v>31506800.550000001</v>
      </c>
      <c r="AQ49" s="53">
        <f>ABS(AP49-$AG$9)/$AG$9</f>
        <v>2.150680055</v>
      </c>
      <c r="AR49" s="49">
        <v>21928761.045000002</v>
      </c>
      <c r="AS49" s="53">
        <f>ABS(AR49-$AG$9)/$AG$9</f>
        <v>1.1928761045000003</v>
      </c>
    </row>
    <row r="50" spans="2:45" x14ac:dyDescent="0.45">
      <c r="B50" s="1" t="s">
        <v>16</v>
      </c>
      <c r="C50" s="68">
        <v>70</v>
      </c>
      <c r="D50" s="68"/>
      <c r="E50" s="68"/>
      <c r="F50" s="1" t="s">
        <v>17</v>
      </c>
      <c r="G50" s="68">
        <v>30</v>
      </c>
      <c r="H50" s="68"/>
      <c r="I50" s="68"/>
      <c r="K50" s="30"/>
      <c r="M50" s="3" t="s">
        <v>2</v>
      </c>
      <c r="N50" s="4">
        <v>0.2</v>
      </c>
      <c r="O50" s="4">
        <v>0.18642115000000001</v>
      </c>
      <c r="P50" s="4">
        <v>0.11956172</v>
      </c>
      <c r="Q50" s="4">
        <v>0.39489605999999999</v>
      </c>
      <c r="R50" s="4">
        <v>0.20228235999999999</v>
      </c>
      <c r="S50" s="4">
        <v>0.10066372</v>
      </c>
      <c r="T50" s="4">
        <v>0.16735535000000001</v>
      </c>
      <c r="V50" s="3" t="s">
        <v>2</v>
      </c>
      <c r="W50" s="4">
        <v>0.2</v>
      </c>
      <c r="X50" s="4">
        <v>0.24516705</v>
      </c>
      <c r="Y50" s="4">
        <v>0.22278994999999999</v>
      </c>
      <c r="Z50" s="4">
        <v>0.47988172000000001</v>
      </c>
      <c r="AA50" s="4">
        <v>0.18066931</v>
      </c>
      <c r="AB50" s="4">
        <v>0.32844739000000001</v>
      </c>
      <c r="AC50" s="4">
        <v>0.43152372</v>
      </c>
      <c r="AF50" s="48" t="s">
        <v>55</v>
      </c>
      <c r="AG50" s="49">
        <v>18000000</v>
      </c>
      <c r="AH50" s="49">
        <v>29039290.909249999</v>
      </c>
      <c r="AI50" s="53">
        <f>ABS(AH50-$AG$9)/$AG$9</f>
        <v>1.903929090925</v>
      </c>
      <c r="AJ50" s="49">
        <v>23864876.77</v>
      </c>
      <c r="AK50" s="53">
        <f>ABS(AJ50-$AG$9)/$AG$9</f>
        <v>1.3864876769999999</v>
      </c>
      <c r="AL50" s="49">
        <v>27156706.712499999</v>
      </c>
      <c r="AM50" s="53">
        <f>ABS(AL50-$AG$9)/$AG$9</f>
        <v>1.7156706712499998</v>
      </c>
      <c r="AN50" s="49">
        <v>19353251.734999999</v>
      </c>
      <c r="AO50" s="53">
        <f>ABS(AN50-$AG$9)/$AG$9</f>
        <v>0.9353251735</v>
      </c>
      <c r="AP50" s="49">
        <v>32414708.390000001</v>
      </c>
      <c r="AQ50" s="53">
        <f>ABS(AP50-$AG$9)/$AG$9</f>
        <v>2.2414708390000002</v>
      </c>
      <c r="AR50" s="49">
        <v>27042190.192500003</v>
      </c>
      <c r="AS50" s="53">
        <f>ABS(AR50-$AG$9)/$AG$9</f>
        <v>1.7042190192500002</v>
      </c>
    </row>
    <row r="51" spans="2:45" x14ac:dyDescent="0.45">
      <c r="B51" s="2"/>
      <c r="C51" s="1" t="s">
        <v>8</v>
      </c>
      <c r="D51" s="1" t="s">
        <v>9</v>
      </c>
      <c r="E51" s="1" t="s">
        <v>10</v>
      </c>
      <c r="F51" s="1" t="s">
        <v>11</v>
      </c>
      <c r="G51" s="1" t="s">
        <v>12</v>
      </c>
      <c r="H51" s="1" t="s">
        <v>13</v>
      </c>
      <c r="I51" s="1" t="s">
        <v>14</v>
      </c>
      <c r="K51" s="30"/>
      <c r="M51" s="25" t="s">
        <v>18</v>
      </c>
      <c r="N51" s="4"/>
      <c r="O51" s="9">
        <f t="shared" ref="O51:T51" si="43">ABS($C$7-O50)/$C$7</f>
        <v>6.7894250000000017E-2</v>
      </c>
      <c r="P51" s="9">
        <f t="shared" si="43"/>
        <v>0.40219140000000003</v>
      </c>
      <c r="Q51" s="9">
        <f t="shared" si="43"/>
        <v>0.97448029999999985</v>
      </c>
      <c r="R51" s="9">
        <f t="shared" si="43"/>
        <v>1.1411799999999916E-2</v>
      </c>
      <c r="S51" s="9">
        <f t="shared" si="43"/>
        <v>0.49668140000000005</v>
      </c>
      <c r="T51" s="9">
        <f t="shared" si="43"/>
        <v>0.16322324999999999</v>
      </c>
      <c r="V51" s="25" t="s">
        <v>18</v>
      </c>
      <c r="W51" s="4"/>
      <c r="X51" s="9">
        <f t="shared" ref="X51:AC51" si="44">ABS($C$7-X50)/$C$7</f>
        <v>0.22583524999999993</v>
      </c>
      <c r="Y51" s="9">
        <f t="shared" si="44"/>
        <v>0.11394974999999988</v>
      </c>
      <c r="Z51" s="9">
        <f t="shared" si="44"/>
        <v>1.3994085999999999</v>
      </c>
      <c r="AA51" s="9">
        <f t="shared" si="44"/>
        <v>9.6653450000000057E-2</v>
      </c>
      <c r="AB51" s="9">
        <f t="shared" si="44"/>
        <v>0.64223694999999992</v>
      </c>
      <c r="AC51" s="9">
        <f t="shared" si="44"/>
        <v>1.1576185999999999</v>
      </c>
      <c r="AF51" s="47" t="s">
        <v>56</v>
      </c>
      <c r="AG51" s="52">
        <v>13000000</v>
      </c>
      <c r="AH51" s="52">
        <v>21700205.265000001</v>
      </c>
      <c r="AI51" s="54">
        <f>ABS(AH51-$AG$10)/$AG$10</f>
        <v>0.44668035100000003</v>
      </c>
      <c r="AJ51" s="52">
        <v>15672617.755000001</v>
      </c>
      <c r="AK51" s="54">
        <f>ABS(AJ51-$AG$10)/$AG$10</f>
        <v>4.4841183666666722E-2</v>
      </c>
      <c r="AL51" s="52">
        <v>19276190.7575</v>
      </c>
      <c r="AM51" s="54">
        <f>ABS(AL51-$AG$10)/$AG$10</f>
        <v>0.28507938383333337</v>
      </c>
      <c r="AN51" s="52">
        <v>15589093.525</v>
      </c>
      <c r="AO51" s="54">
        <f>ABS(AN51-$AG$10)/$AG$10</f>
        <v>3.9272901666666693E-2</v>
      </c>
      <c r="AP51" s="52">
        <v>21222495.489749998</v>
      </c>
      <c r="AQ51" s="54">
        <f>ABS(AP51-$AG$10)/$AG$10</f>
        <v>0.41483303264999988</v>
      </c>
      <c r="AR51" s="52">
        <v>27144295.705000002</v>
      </c>
      <c r="AS51" s="54">
        <f>ABS(AR51-$AG$10)/$AG$10</f>
        <v>0.80961971366666674</v>
      </c>
    </row>
    <row r="52" spans="2:45" x14ac:dyDescent="0.45">
      <c r="B52" s="7" t="s">
        <v>0</v>
      </c>
      <c r="C52" s="8"/>
      <c r="D52" s="12"/>
      <c r="E52" s="11"/>
      <c r="F52" s="12"/>
      <c r="G52" s="14"/>
      <c r="H52" s="15"/>
      <c r="I52" s="14"/>
      <c r="K52" s="30"/>
      <c r="M52" s="16" t="s">
        <v>3</v>
      </c>
      <c r="N52" s="21">
        <v>2500</v>
      </c>
      <c r="O52" s="21">
        <v>2554.5067399899999</v>
      </c>
      <c r="P52" s="21">
        <v>2533.5061090499998</v>
      </c>
      <c r="Q52" s="21">
        <v>2493.1189939999999</v>
      </c>
      <c r="R52" s="21">
        <v>2571.8211919999999</v>
      </c>
      <c r="S52" s="21">
        <v>2551.216872</v>
      </c>
      <c r="T52" s="21">
        <v>2520.780636</v>
      </c>
      <c r="V52" s="16" t="s">
        <v>3</v>
      </c>
      <c r="W52" s="21">
        <v>2500</v>
      </c>
      <c r="X52" s="21">
        <v>2573.6839874000002</v>
      </c>
      <c r="Y52" s="21">
        <v>2556.47627857</v>
      </c>
      <c r="Z52" s="21">
        <v>2457.1465800999999</v>
      </c>
      <c r="AA52" s="21">
        <v>2469.2556359999999</v>
      </c>
      <c r="AB52" s="21">
        <v>2489.3234975</v>
      </c>
      <c r="AC52" s="21">
        <v>2512.7457595699998</v>
      </c>
      <c r="AF52" s="55" t="s">
        <v>0</v>
      </c>
      <c r="AG52" s="56"/>
      <c r="AH52" s="58">
        <v>0.58388845950000001</v>
      </c>
      <c r="AI52" s="58"/>
      <c r="AJ52" s="58">
        <v>0.53412508650000001</v>
      </c>
      <c r="AK52" s="58"/>
      <c r="AL52" s="58">
        <v>1.4756661822499999</v>
      </c>
      <c r="AM52" s="58"/>
      <c r="AN52" s="58">
        <v>0.24221126074999999</v>
      </c>
      <c r="AO52" s="58"/>
      <c r="AP52" s="58">
        <v>2.1996083390000001</v>
      </c>
      <c r="AQ52" s="58"/>
      <c r="AR52" s="58">
        <v>2.6720338405000001</v>
      </c>
      <c r="AS52" s="58"/>
    </row>
    <row r="53" spans="2:45" x14ac:dyDescent="0.45">
      <c r="B53" s="3" t="s">
        <v>24</v>
      </c>
      <c r="C53" s="20"/>
      <c r="D53" s="14"/>
      <c r="E53" s="15"/>
      <c r="F53" s="14"/>
      <c r="G53" s="14"/>
      <c r="H53" s="15"/>
      <c r="I53" s="14"/>
      <c r="K53" s="30"/>
      <c r="M53" s="16" t="s">
        <v>15</v>
      </c>
      <c r="N53" s="19"/>
      <c r="O53" s="13">
        <f t="shared" ref="O53:T53" si="45">ABS($C$9-O52)/$C$9</f>
        <v>2.1802695995999967E-2</v>
      </c>
      <c r="P53" s="13">
        <f t="shared" si="45"/>
        <v>1.340244361999994E-2</v>
      </c>
      <c r="Q53" s="13">
        <f t="shared" si="45"/>
        <v>2.752402400000028E-3</v>
      </c>
      <c r="R53" s="13">
        <f t="shared" si="45"/>
        <v>2.8728476799999954E-2</v>
      </c>
      <c r="S53" s="13">
        <f t="shared" si="45"/>
        <v>2.0486748799999985E-2</v>
      </c>
      <c r="T53" s="13">
        <f t="shared" si="45"/>
        <v>8.3122543999999826E-3</v>
      </c>
      <c r="V53" s="16" t="s">
        <v>15</v>
      </c>
      <c r="W53" s="19"/>
      <c r="X53" s="13">
        <f t="shared" ref="X53:AC53" si="46">ABS($C$9-X52)/$C$9</f>
        <v>2.9473594960000082E-2</v>
      </c>
      <c r="Y53" s="13">
        <f t="shared" si="46"/>
        <v>2.259051142799999E-2</v>
      </c>
      <c r="Z53" s="13">
        <f t="shared" si="46"/>
        <v>1.7141367960000025E-2</v>
      </c>
      <c r="AA53" s="13">
        <f t="shared" si="46"/>
        <v>1.2297745600000054E-2</v>
      </c>
      <c r="AB53" s="13">
        <f t="shared" si="46"/>
        <v>4.2706009999999876E-3</v>
      </c>
      <c r="AC53" s="13">
        <f t="shared" si="46"/>
        <v>5.0983038279999162E-3</v>
      </c>
    </row>
    <row r="54" spans="2:45" x14ac:dyDescent="0.45">
      <c r="B54" s="3" t="s">
        <v>27</v>
      </c>
      <c r="C54" s="20"/>
      <c r="D54" s="14"/>
      <c r="E54" s="15"/>
      <c r="F54" s="14"/>
      <c r="G54" s="14"/>
      <c r="H54" s="15"/>
      <c r="I54" s="14"/>
      <c r="K54" s="30"/>
      <c r="M54" s="3" t="s">
        <v>4</v>
      </c>
      <c r="N54" s="5">
        <v>10000000</v>
      </c>
      <c r="O54" s="5">
        <v>9938867.6285344698</v>
      </c>
      <c r="P54" s="5">
        <v>8930135.97890337</v>
      </c>
      <c r="Q54" s="5">
        <v>13166424.8010589</v>
      </c>
      <c r="R54" s="5">
        <v>10434088.435092</v>
      </c>
      <c r="S54" s="5">
        <v>8996153.0500000007</v>
      </c>
      <c r="T54" s="5">
        <v>12369539.099671301</v>
      </c>
      <c r="V54" s="3" t="s">
        <v>4</v>
      </c>
      <c r="W54" s="5">
        <v>10000000</v>
      </c>
      <c r="X54" s="5">
        <v>10228093.017786199</v>
      </c>
      <c r="Y54" s="5">
        <v>11244272.9091137</v>
      </c>
      <c r="Z54" s="5">
        <v>9798900.2215390299</v>
      </c>
      <c r="AA54" s="5">
        <v>9816397.7760000005</v>
      </c>
      <c r="AB54" s="5">
        <v>10804895.0689114</v>
      </c>
      <c r="AC54" s="5">
        <v>10009980.095567901</v>
      </c>
    </row>
    <row r="55" spans="2:45" x14ac:dyDescent="0.45">
      <c r="B55" s="16" t="s">
        <v>1</v>
      </c>
      <c r="C55" s="17">
        <v>23000000000</v>
      </c>
      <c r="D55" s="18"/>
      <c r="E55" s="18"/>
      <c r="F55" s="18"/>
      <c r="G55" s="17"/>
      <c r="H55" s="18"/>
      <c r="I55" s="18"/>
      <c r="K55" s="30"/>
      <c r="M55" s="25" t="s">
        <v>18</v>
      </c>
      <c r="N55" s="4"/>
      <c r="O55" s="10">
        <f t="shared" ref="O55:T55" si="47">ABS($C$11-O54)/$C$11</f>
        <v>6.1132371465530246E-3</v>
      </c>
      <c r="P55" s="10">
        <f t="shared" si="47"/>
        <v>0.10698640210966301</v>
      </c>
      <c r="Q55" s="10">
        <f t="shared" si="47"/>
        <v>0.31664248010588997</v>
      </c>
      <c r="R55" s="10">
        <f t="shared" si="47"/>
        <v>4.3408843509200032E-2</v>
      </c>
      <c r="S55" s="10">
        <f t="shared" si="47"/>
        <v>0.10038469499999993</v>
      </c>
      <c r="T55" s="10">
        <f t="shared" si="47"/>
        <v>0.23695390996713006</v>
      </c>
      <c r="V55" s="25" t="s">
        <v>18</v>
      </c>
      <c r="W55" s="4"/>
      <c r="X55" s="10">
        <f t="shared" ref="X55:AC55" si="48">ABS($C$11-X54)/$C$11</f>
        <v>2.2809301778619923E-2</v>
      </c>
      <c r="Y55" s="10">
        <f t="shared" si="48"/>
        <v>0.12442729091136996</v>
      </c>
      <c r="Z55" s="10">
        <f t="shared" si="48"/>
        <v>2.0109977846097016E-2</v>
      </c>
      <c r="AA55" s="10">
        <f t="shared" si="48"/>
        <v>1.8360222399999945E-2</v>
      </c>
      <c r="AB55" s="10">
        <f t="shared" si="48"/>
        <v>8.048950689113997E-2</v>
      </c>
      <c r="AC55" s="10">
        <f t="shared" si="48"/>
        <v>9.980095567900687E-4</v>
      </c>
    </row>
    <row r="56" spans="2:45" x14ac:dyDescent="0.45">
      <c r="B56" s="19" t="s">
        <v>15</v>
      </c>
      <c r="C56" s="19"/>
      <c r="D56" s="13">
        <f t="shared" ref="D56:I56" si="49">ABS($C$20-D55)/$C$20</f>
        <v>1</v>
      </c>
      <c r="E56" s="13">
        <f t="shared" si="49"/>
        <v>1</v>
      </c>
      <c r="F56" s="13">
        <f t="shared" si="49"/>
        <v>1</v>
      </c>
      <c r="G56" s="13">
        <f t="shared" si="49"/>
        <v>1</v>
      </c>
      <c r="H56" s="13">
        <f t="shared" si="49"/>
        <v>1</v>
      </c>
      <c r="I56" s="13">
        <f t="shared" si="49"/>
        <v>1</v>
      </c>
      <c r="K56" s="30"/>
      <c r="M56" s="16" t="s">
        <v>5</v>
      </c>
      <c r="N56" s="17">
        <v>15000000</v>
      </c>
      <c r="O56" s="17">
        <v>15566950.0938717</v>
      </c>
      <c r="P56" s="17">
        <v>17448266.252101298</v>
      </c>
      <c r="Q56" s="17">
        <v>14284176.2688291</v>
      </c>
      <c r="R56" s="17">
        <v>15296113.7963834</v>
      </c>
      <c r="S56" s="17">
        <v>17610011.130109899</v>
      </c>
      <c r="T56" s="17">
        <v>15287536.4613792</v>
      </c>
      <c r="V56" s="16" t="s">
        <v>5</v>
      </c>
      <c r="W56" s="17">
        <v>15000000</v>
      </c>
      <c r="X56" s="17">
        <v>15475315.368883099</v>
      </c>
      <c r="Y56" s="17">
        <v>14442941.851567199</v>
      </c>
      <c r="Z56" s="17">
        <v>15100281.521709001</v>
      </c>
      <c r="AA56" s="17">
        <v>15082352.859999999</v>
      </c>
      <c r="AB56" s="17">
        <v>14089836.6675067</v>
      </c>
      <c r="AC56" s="17">
        <v>15474794.015829099</v>
      </c>
    </row>
    <row r="57" spans="2:45" ht="14.65" thickBot="1" x14ac:dyDescent="0.5">
      <c r="B57" s="3" t="s">
        <v>2</v>
      </c>
      <c r="C57" s="4">
        <v>0.2</v>
      </c>
      <c r="D57" s="20"/>
      <c r="E57" s="14"/>
      <c r="F57" s="14"/>
      <c r="G57" s="14"/>
      <c r="H57" s="14"/>
      <c r="I57" s="14"/>
      <c r="K57" s="30"/>
      <c r="M57" s="23" t="s">
        <v>18</v>
      </c>
      <c r="N57" s="23"/>
      <c r="O57" s="24">
        <f t="shared" ref="O57:T57" si="50">ABS($C$13-O56)/$C$13</f>
        <v>3.7796672924779978E-2</v>
      </c>
      <c r="P57" s="24">
        <f t="shared" si="50"/>
        <v>0.16321775014008655</v>
      </c>
      <c r="Q57" s="24">
        <f t="shared" si="50"/>
        <v>4.7721582078060008E-2</v>
      </c>
      <c r="R57" s="24">
        <f t="shared" si="50"/>
        <v>1.9740919758893301E-2</v>
      </c>
      <c r="S57" s="24">
        <f t="shared" si="50"/>
        <v>0.17400074200732657</v>
      </c>
      <c r="T57" s="24">
        <f t="shared" si="50"/>
        <v>1.9169097425280016E-2</v>
      </c>
      <c r="V57" s="23" t="s">
        <v>18</v>
      </c>
      <c r="W57" s="23"/>
      <c r="X57" s="24">
        <f t="shared" ref="X57:AC57" si="51">ABS($C$13-X56)/$C$13</f>
        <v>3.1687691258873295E-2</v>
      </c>
      <c r="Y57" s="24">
        <f t="shared" si="51"/>
        <v>3.7137209895520037E-2</v>
      </c>
      <c r="Z57" s="24">
        <f t="shared" si="51"/>
        <v>6.6854347806000461E-3</v>
      </c>
      <c r="AA57" s="24">
        <f t="shared" si="51"/>
        <v>5.4901906666666271E-3</v>
      </c>
      <c r="AB57" s="24">
        <f t="shared" si="51"/>
        <v>6.067755549955331E-2</v>
      </c>
      <c r="AC57" s="24">
        <f t="shared" si="51"/>
        <v>3.165293438860662E-2</v>
      </c>
    </row>
    <row r="58" spans="2:45" ht="15" thickTop="1" thickBot="1" x14ac:dyDescent="0.5">
      <c r="B58" s="25" t="s">
        <v>15</v>
      </c>
      <c r="C58" s="4"/>
      <c r="D58" s="9">
        <f t="shared" ref="D58:I58" si="52">ABS($C$22-D57)/$C$22</f>
        <v>1</v>
      </c>
      <c r="E58" s="9">
        <f t="shared" si="52"/>
        <v>1</v>
      </c>
      <c r="F58" s="9">
        <f t="shared" si="52"/>
        <v>1</v>
      </c>
      <c r="G58" s="9">
        <f t="shared" si="52"/>
        <v>1</v>
      </c>
      <c r="H58" s="9">
        <f t="shared" si="52"/>
        <v>1</v>
      </c>
      <c r="I58" s="9">
        <f t="shared" si="52"/>
        <v>1</v>
      </c>
      <c r="K58" s="30"/>
      <c r="M58" s="19" t="s">
        <v>23</v>
      </c>
      <c r="N58" s="19"/>
      <c r="O58" s="33"/>
      <c r="P58" s="13"/>
      <c r="Q58" s="13"/>
      <c r="R58" s="13"/>
      <c r="S58" s="13"/>
      <c r="T58" s="13"/>
      <c r="V58" s="19" t="s">
        <v>23</v>
      </c>
      <c r="W58" s="19"/>
      <c r="X58" s="33"/>
      <c r="Y58" s="13"/>
      <c r="Z58" s="13"/>
      <c r="AA58" s="13"/>
      <c r="AB58" s="13"/>
      <c r="AC58" s="13"/>
    </row>
    <row r="59" spans="2:45" ht="14.65" thickTop="1" x14ac:dyDescent="0.45">
      <c r="B59" s="16" t="s">
        <v>3</v>
      </c>
      <c r="C59" s="19">
        <v>2500</v>
      </c>
      <c r="D59" s="21"/>
      <c r="E59" s="21"/>
      <c r="F59" s="21"/>
      <c r="G59" s="21"/>
      <c r="H59" s="21"/>
      <c r="I59" s="21"/>
      <c r="K59" s="30"/>
      <c r="M59" s="67" t="s">
        <v>30</v>
      </c>
      <c r="N59" s="67"/>
      <c r="O59" s="67"/>
      <c r="P59" s="67"/>
      <c r="Q59" s="67"/>
      <c r="R59" s="67"/>
      <c r="S59" s="67"/>
      <c r="T59" s="67"/>
      <c r="V59" s="67" t="s">
        <v>34</v>
      </c>
      <c r="W59" s="67"/>
      <c r="X59" s="67"/>
      <c r="Y59" s="67"/>
      <c r="Z59" s="67"/>
      <c r="AA59" s="67"/>
      <c r="AB59" s="67"/>
      <c r="AC59" s="67"/>
    </row>
    <row r="60" spans="2:45" x14ac:dyDescent="0.45">
      <c r="B60" s="16" t="s">
        <v>15</v>
      </c>
      <c r="C60" s="19"/>
      <c r="D60" s="13">
        <f t="shared" ref="D60:I60" si="53">ABS($C$24-D59)/$C$24</f>
        <v>1</v>
      </c>
      <c r="E60" s="13">
        <f t="shared" si="53"/>
        <v>1</v>
      </c>
      <c r="F60" s="13">
        <f t="shared" si="53"/>
        <v>1</v>
      </c>
      <c r="G60" s="13">
        <f t="shared" si="53"/>
        <v>1</v>
      </c>
      <c r="H60" s="13">
        <f t="shared" si="53"/>
        <v>1</v>
      </c>
      <c r="I60" s="13">
        <f t="shared" si="53"/>
        <v>1</v>
      </c>
      <c r="K60" s="30"/>
      <c r="M60" s="1" t="s">
        <v>16</v>
      </c>
      <c r="N60" s="68">
        <v>70</v>
      </c>
      <c r="O60" s="68"/>
      <c r="P60" s="68"/>
      <c r="Q60" s="1" t="s">
        <v>17</v>
      </c>
      <c r="R60" s="68">
        <v>30</v>
      </c>
      <c r="S60" s="68"/>
      <c r="T60" s="68"/>
      <c r="V60" s="1" t="s">
        <v>16</v>
      </c>
      <c r="W60" s="68">
        <v>70</v>
      </c>
      <c r="X60" s="68"/>
      <c r="Y60" s="68"/>
      <c r="Z60" s="1" t="s">
        <v>17</v>
      </c>
      <c r="AA60" s="68">
        <v>30</v>
      </c>
      <c r="AB60" s="68"/>
      <c r="AC60" s="68"/>
    </row>
    <row r="61" spans="2:45" x14ac:dyDescent="0.45">
      <c r="B61" s="3" t="s">
        <v>4</v>
      </c>
      <c r="C61" s="5">
        <v>10000000</v>
      </c>
      <c r="D61" s="22"/>
      <c r="E61" s="22"/>
      <c r="F61" s="22"/>
      <c r="G61" s="5"/>
      <c r="H61" s="5"/>
      <c r="I61" s="22"/>
      <c r="K61" s="30"/>
      <c r="M61" s="2"/>
      <c r="N61" s="1" t="s">
        <v>8</v>
      </c>
      <c r="O61" s="1" t="s">
        <v>9</v>
      </c>
      <c r="P61" s="1" t="s">
        <v>10</v>
      </c>
      <c r="Q61" s="1" t="s">
        <v>11</v>
      </c>
      <c r="R61" s="1" t="s">
        <v>12</v>
      </c>
      <c r="S61" s="1" t="s">
        <v>13</v>
      </c>
      <c r="T61" s="1" t="s">
        <v>14</v>
      </c>
      <c r="V61" s="2"/>
      <c r="W61" s="1" t="s">
        <v>8</v>
      </c>
      <c r="X61" s="1" t="s">
        <v>9</v>
      </c>
      <c r="Y61" s="1" t="s">
        <v>10</v>
      </c>
      <c r="Z61" s="1" t="s">
        <v>11</v>
      </c>
      <c r="AA61" s="1" t="s">
        <v>12</v>
      </c>
      <c r="AB61" s="1" t="s">
        <v>13</v>
      </c>
      <c r="AC61" s="1" t="s">
        <v>14</v>
      </c>
    </row>
    <row r="62" spans="2:45" x14ac:dyDescent="0.45">
      <c r="B62" s="25" t="s">
        <v>15</v>
      </c>
      <c r="C62" s="4"/>
      <c r="D62" s="10">
        <f t="shared" ref="D62:I62" si="54">ABS($C$26-D61)/$C$26</f>
        <v>1</v>
      </c>
      <c r="E62" s="10">
        <f t="shared" si="54"/>
        <v>1</v>
      </c>
      <c r="F62" s="10">
        <f t="shared" si="54"/>
        <v>1</v>
      </c>
      <c r="G62" s="10">
        <f t="shared" si="54"/>
        <v>1</v>
      </c>
      <c r="H62" s="10">
        <f t="shared" si="54"/>
        <v>1</v>
      </c>
      <c r="I62" s="10">
        <f t="shared" si="54"/>
        <v>1</v>
      </c>
      <c r="K62" s="30"/>
      <c r="M62" s="7" t="s">
        <v>0</v>
      </c>
      <c r="N62" s="8"/>
      <c r="O62" s="32">
        <v>0.35148444386081801</v>
      </c>
      <c r="P62" s="32">
        <v>0.64084948167830902</v>
      </c>
      <c r="Q62" s="32">
        <v>1.62191535303037</v>
      </c>
      <c r="R62" s="29">
        <v>0.18300049635247501</v>
      </c>
      <c r="S62" s="29">
        <v>0.71855192883707497</v>
      </c>
      <c r="T62" s="29">
        <v>1.8582878897722499</v>
      </c>
      <c r="V62" s="7" t="s">
        <v>0</v>
      </c>
      <c r="W62" s="8"/>
      <c r="X62" s="32">
        <v>0.43103541052508898</v>
      </c>
      <c r="Y62" s="32">
        <v>0.21581957195899901</v>
      </c>
      <c r="Z62" s="32">
        <v>0.89784170172186395</v>
      </c>
      <c r="AA62" s="29">
        <v>0.11027125995609501</v>
      </c>
      <c r="AB62" s="29">
        <v>0.84321243498898302</v>
      </c>
      <c r="AC62" s="29">
        <v>1.38419599644406</v>
      </c>
    </row>
    <row r="63" spans="2:45" x14ac:dyDescent="0.45">
      <c r="B63" s="16" t="s">
        <v>5</v>
      </c>
      <c r="C63" s="17">
        <v>15000000</v>
      </c>
      <c r="D63" s="18"/>
      <c r="E63" s="18"/>
      <c r="F63" s="18"/>
      <c r="G63" s="17"/>
      <c r="H63" s="17"/>
      <c r="I63" s="18"/>
      <c r="K63" s="30"/>
      <c r="M63" s="4" t="s">
        <v>24</v>
      </c>
      <c r="N63" s="20"/>
      <c r="O63" s="14"/>
      <c r="P63" s="15"/>
      <c r="Q63" s="14"/>
      <c r="R63" s="29">
        <v>0.16095887328966199</v>
      </c>
      <c r="S63" s="29">
        <v>0.61126815241667598</v>
      </c>
      <c r="T63" s="29">
        <v>1.5653035245109199</v>
      </c>
      <c r="V63" s="4" t="s">
        <v>24</v>
      </c>
      <c r="W63" s="20"/>
      <c r="X63" s="14"/>
      <c r="Y63" s="15"/>
      <c r="Z63" s="14"/>
      <c r="AA63" s="29">
        <v>0.103131102995299</v>
      </c>
      <c r="AB63" s="29">
        <v>0.67015394539663298</v>
      </c>
      <c r="AC63" s="29">
        <v>1.17602427481151</v>
      </c>
    </row>
    <row r="64" spans="2:45" x14ac:dyDescent="0.45">
      <c r="B64" s="19" t="s">
        <v>15</v>
      </c>
      <c r="C64" s="19"/>
      <c r="D64" s="26">
        <f t="shared" ref="D64:I64" si="55">ABS($C$28-D63)/$C$28</f>
        <v>1</v>
      </c>
      <c r="E64" s="26">
        <f t="shared" si="55"/>
        <v>1</v>
      </c>
      <c r="F64" s="26">
        <f t="shared" si="55"/>
        <v>1</v>
      </c>
      <c r="G64" s="26">
        <f t="shared" si="55"/>
        <v>1</v>
      </c>
      <c r="H64" s="26">
        <f t="shared" si="55"/>
        <v>1</v>
      </c>
      <c r="I64" s="26">
        <f t="shared" si="55"/>
        <v>1</v>
      </c>
      <c r="K64" s="30"/>
      <c r="M64" s="4" t="s">
        <v>27</v>
      </c>
      <c r="N64" s="20"/>
      <c r="O64" s="14"/>
      <c r="P64" s="15"/>
      <c r="Q64" s="14"/>
      <c r="R64" s="29">
        <v>2.2041623062813698E-2</v>
      </c>
      <c r="S64" s="29">
        <v>0.10728377642039801</v>
      </c>
      <c r="T64" s="29">
        <v>0.29298436526132199</v>
      </c>
      <c r="V64" s="4" t="s">
        <v>27</v>
      </c>
      <c r="W64" s="20"/>
      <c r="X64" s="14"/>
      <c r="Y64" s="15"/>
      <c r="Z64" s="14"/>
      <c r="AA64" s="29">
        <v>7.1401569607962801E-3</v>
      </c>
      <c r="AB64" s="29">
        <v>0.17305848959234901</v>
      </c>
      <c r="AC64" s="29">
        <v>0.20817172163255801</v>
      </c>
    </row>
    <row r="65" spans="2:29" x14ac:dyDescent="0.45">
      <c r="B65" s="3" t="s">
        <v>6</v>
      </c>
      <c r="C65" s="5">
        <v>18000000</v>
      </c>
      <c r="D65" s="22"/>
      <c r="E65" s="22"/>
      <c r="F65" s="22"/>
      <c r="G65" s="5"/>
      <c r="H65" s="5"/>
      <c r="I65" s="22"/>
      <c r="K65" s="30"/>
      <c r="M65" s="16" t="s">
        <v>1</v>
      </c>
      <c r="N65" s="17">
        <v>23000000000</v>
      </c>
      <c r="O65" s="18">
        <v>23349218700</v>
      </c>
      <c r="P65" s="18">
        <v>23349422338.394402</v>
      </c>
      <c r="Q65" s="18">
        <v>21969757904.906101</v>
      </c>
      <c r="R65" s="17">
        <v>24033687668.374901</v>
      </c>
      <c r="S65" s="18">
        <v>22560399717.360001</v>
      </c>
      <c r="T65" s="18">
        <v>23720805667.253502</v>
      </c>
      <c r="V65" s="16" t="s">
        <v>1</v>
      </c>
      <c r="W65" s="17">
        <v>23000000000</v>
      </c>
      <c r="X65" s="18">
        <v>24257903292.301998</v>
      </c>
      <c r="Y65" s="18">
        <v>23468110356.2094</v>
      </c>
      <c r="Z65" s="18">
        <v>23781814022.460899</v>
      </c>
      <c r="AA65" s="17">
        <v>24012518331.006599</v>
      </c>
      <c r="AB65" s="18">
        <v>23941288717.099602</v>
      </c>
      <c r="AC65" s="18">
        <v>24049516825.382099</v>
      </c>
    </row>
    <row r="66" spans="2:29" x14ac:dyDescent="0.45">
      <c r="B66" s="25" t="s">
        <v>15</v>
      </c>
      <c r="C66" s="4"/>
      <c r="D66" s="10">
        <f t="shared" ref="D66:I66" si="56">ABS($C$30-D65)/$C$30</f>
        <v>1</v>
      </c>
      <c r="E66" s="10">
        <f t="shared" si="56"/>
        <v>1</v>
      </c>
      <c r="F66" s="10">
        <f t="shared" si="56"/>
        <v>1</v>
      </c>
      <c r="G66" s="10">
        <f t="shared" si="56"/>
        <v>1</v>
      </c>
      <c r="H66" s="10">
        <f t="shared" si="56"/>
        <v>1</v>
      </c>
      <c r="I66" s="10">
        <f t="shared" si="56"/>
        <v>1</v>
      </c>
      <c r="K66" s="30"/>
      <c r="M66" s="19" t="s">
        <v>15</v>
      </c>
      <c r="N66" s="19"/>
      <c r="O66" s="13">
        <f t="shared" ref="O66:T66" si="57">ABS($C$20-O65)/$C$20</f>
        <v>1.5183421739130435E-2</v>
      </c>
      <c r="P66" s="13">
        <f t="shared" si="57"/>
        <v>1.5192275582365284E-2</v>
      </c>
      <c r="Q66" s="13">
        <f t="shared" si="57"/>
        <v>4.4793134569299946E-2</v>
      </c>
      <c r="R66" s="13">
        <f t="shared" si="57"/>
        <v>4.4942942103256556E-2</v>
      </c>
      <c r="S66" s="13">
        <f t="shared" si="57"/>
        <v>1.9113055766956495E-2</v>
      </c>
      <c r="T66" s="13">
        <f t="shared" si="57"/>
        <v>3.133937683710878E-2</v>
      </c>
      <c r="V66" s="19" t="s">
        <v>15</v>
      </c>
      <c r="W66" s="19"/>
      <c r="X66" s="13">
        <f t="shared" ref="X66:AC66" si="58">ABS($C$20-X65)/$C$20</f>
        <v>5.4691447491391224E-2</v>
      </c>
      <c r="Y66" s="13">
        <f t="shared" si="58"/>
        <v>2.03526241830174E-2</v>
      </c>
      <c r="Z66" s="13">
        <f t="shared" si="58"/>
        <v>3.39919140200391E-2</v>
      </c>
      <c r="AA66" s="13">
        <f t="shared" si="58"/>
        <v>4.4022536130721712E-2</v>
      </c>
      <c r="AB66" s="13">
        <f t="shared" si="58"/>
        <v>4.092559639563486E-2</v>
      </c>
      <c r="AC66" s="13">
        <f t="shared" si="58"/>
        <v>4.5631166320960835E-2</v>
      </c>
    </row>
    <row r="67" spans="2:29" x14ac:dyDescent="0.45">
      <c r="B67" s="16" t="s">
        <v>7</v>
      </c>
      <c r="C67" s="17">
        <v>13000000</v>
      </c>
      <c r="D67" s="17"/>
      <c r="E67" s="18"/>
      <c r="F67" s="18"/>
      <c r="G67" s="17"/>
      <c r="H67" s="18"/>
      <c r="I67" s="18"/>
      <c r="K67" s="30"/>
      <c r="M67" s="3" t="s">
        <v>2</v>
      </c>
      <c r="N67" s="4">
        <v>0.2</v>
      </c>
      <c r="O67" s="20">
        <v>0.20832289000000001</v>
      </c>
      <c r="P67" s="14">
        <v>0.12192227999999999</v>
      </c>
      <c r="Q67" s="14">
        <v>0.18193967999999999</v>
      </c>
      <c r="R67" s="14">
        <v>0.14467178999999999</v>
      </c>
      <c r="S67" s="14">
        <v>0.14642417999999999</v>
      </c>
      <c r="T67" s="14">
        <v>0.11405975</v>
      </c>
      <c r="V67" s="3" t="s">
        <v>2</v>
      </c>
      <c r="W67" s="4">
        <v>0.2</v>
      </c>
      <c r="X67" s="20">
        <v>0.14814799000000001</v>
      </c>
      <c r="Y67" s="14">
        <v>0.19406909</v>
      </c>
      <c r="Z67" s="14">
        <v>0.49781438</v>
      </c>
      <c r="AA67" s="14">
        <v>0.11244041</v>
      </c>
      <c r="AB67" s="14">
        <v>0.10458296</v>
      </c>
      <c r="AC67" s="14">
        <v>0.10988437</v>
      </c>
    </row>
    <row r="68" spans="2:29" ht="14.65" thickBot="1" x14ac:dyDescent="0.5">
      <c r="B68" s="23" t="s">
        <v>15</v>
      </c>
      <c r="C68" s="23"/>
      <c r="D68" s="24">
        <f t="shared" ref="D68:I68" si="59">ABS($C$32-D67)/$C$32</f>
        <v>1</v>
      </c>
      <c r="E68" s="24">
        <f t="shared" si="59"/>
        <v>1</v>
      </c>
      <c r="F68" s="24">
        <f t="shared" si="59"/>
        <v>1</v>
      </c>
      <c r="G68" s="24">
        <f t="shared" si="59"/>
        <v>1</v>
      </c>
      <c r="H68" s="24">
        <f t="shared" si="59"/>
        <v>1</v>
      </c>
      <c r="I68" s="24">
        <f t="shared" si="59"/>
        <v>1</v>
      </c>
      <c r="K68" s="30"/>
      <c r="M68" s="25" t="s">
        <v>15</v>
      </c>
      <c r="N68" s="4"/>
      <c r="O68" s="9">
        <f t="shared" ref="O68:T68" si="60">ABS($C$22-O67)/$C$22</f>
        <v>4.1614449999999997E-2</v>
      </c>
      <c r="P68" s="9">
        <f t="shared" si="60"/>
        <v>0.39038860000000009</v>
      </c>
      <c r="Q68" s="9">
        <f t="shared" si="60"/>
        <v>9.0301600000000093E-2</v>
      </c>
      <c r="R68" s="9">
        <f t="shared" si="60"/>
        <v>0.27664105000000005</v>
      </c>
      <c r="S68" s="9">
        <f t="shared" si="60"/>
        <v>0.26787910000000009</v>
      </c>
      <c r="T68" s="9">
        <f t="shared" si="60"/>
        <v>0.42970125000000003</v>
      </c>
      <c r="V68" s="25" t="s">
        <v>15</v>
      </c>
      <c r="W68" s="4"/>
      <c r="X68" s="9">
        <f t="shared" ref="X68:AC68" si="61">ABS($C$22-X67)/$C$22</f>
        <v>0.25926005000000002</v>
      </c>
      <c r="Y68" s="9">
        <f t="shared" si="61"/>
        <v>2.9654550000000057E-2</v>
      </c>
      <c r="Z68" s="9">
        <f t="shared" si="61"/>
        <v>1.4890718999999999</v>
      </c>
      <c r="AA68" s="9">
        <f t="shared" si="61"/>
        <v>0.43779794999999999</v>
      </c>
      <c r="AB68" s="9">
        <f t="shared" si="61"/>
        <v>0.47708520000000004</v>
      </c>
      <c r="AC68" s="9">
        <f t="shared" si="61"/>
        <v>0.45057815000000007</v>
      </c>
    </row>
    <row r="69" spans="2:29" ht="14.65" thickTop="1" x14ac:dyDescent="0.45">
      <c r="K69" s="30"/>
      <c r="M69" s="16" t="s">
        <v>3</v>
      </c>
      <c r="N69" s="19">
        <v>2500</v>
      </c>
      <c r="O69" s="21">
        <v>2443.4845559999999</v>
      </c>
      <c r="P69" s="21">
        <v>2591.7657810000001</v>
      </c>
      <c r="Q69" s="21">
        <v>2588.7993809999998</v>
      </c>
      <c r="R69" s="21">
        <v>2560.8210290000002</v>
      </c>
      <c r="S69" s="21">
        <v>2455.727754</v>
      </c>
      <c r="T69" s="21">
        <v>2571.1093580000002</v>
      </c>
      <c r="V69" s="16" t="s">
        <v>3</v>
      </c>
      <c r="W69" s="19">
        <v>2500</v>
      </c>
      <c r="X69" s="21">
        <v>2573.1264309500002</v>
      </c>
      <c r="Y69" s="21">
        <v>2468.4585524300001</v>
      </c>
      <c r="Z69" s="21">
        <v>2505.5791668799998</v>
      </c>
      <c r="AA69" s="21">
        <v>2577.3443130599999</v>
      </c>
      <c r="AB69" s="21">
        <v>2546.7071346799999</v>
      </c>
      <c r="AC69" s="21">
        <v>2586.3572349599999</v>
      </c>
    </row>
    <row r="70" spans="2:29" x14ac:dyDescent="0.45">
      <c r="K70" s="30"/>
      <c r="M70" s="16" t="s">
        <v>15</v>
      </c>
      <c r="N70" s="19"/>
      <c r="O70" s="13">
        <f t="shared" ref="O70:T70" si="62">ABS($C$24-O69)/$C$24</f>
        <v>2.2606177600000048E-2</v>
      </c>
      <c r="P70" s="13">
        <f t="shared" si="62"/>
        <v>3.6706312400000024E-2</v>
      </c>
      <c r="Q70" s="13">
        <f t="shared" si="62"/>
        <v>3.5519752399999924E-2</v>
      </c>
      <c r="R70" s="13">
        <f t="shared" si="62"/>
        <v>2.4328411600000072E-2</v>
      </c>
      <c r="S70" s="13">
        <f t="shared" si="62"/>
        <v>1.7708898399999999E-2</v>
      </c>
      <c r="T70" s="13">
        <f t="shared" si="62"/>
        <v>2.8443743200000062E-2</v>
      </c>
      <c r="V70" s="16" t="s">
        <v>15</v>
      </c>
      <c r="W70" s="19"/>
      <c r="X70" s="13">
        <f t="shared" ref="X70:AC70" si="63">ABS($C$24-X69)/$C$24</f>
        <v>2.9250572380000086E-2</v>
      </c>
      <c r="Y70" s="13">
        <f t="shared" si="63"/>
        <v>1.2616579027999978E-2</v>
      </c>
      <c r="Z70" s="13">
        <f t="shared" si="63"/>
        <v>2.23166675199991E-3</v>
      </c>
      <c r="AA70" s="13">
        <f t="shared" si="63"/>
        <v>3.093772522399995E-2</v>
      </c>
      <c r="AB70" s="13">
        <f t="shared" si="63"/>
        <v>1.868285387199994E-2</v>
      </c>
      <c r="AC70" s="13">
        <f t="shared" si="63"/>
        <v>3.4542893983999963E-2</v>
      </c>
    </row>
    <row r="71" spans="2:29" x14ac:dyDescent="0.45">
      <c r="K71" s="30"/>
      <c r="M71" s="3" t="s">
        <v>4</v>
      </c>
      <c r="N71" s="5">
        <v>10000000</v>
      </c>
      <c r="O71" s="22">
        <v>3761375.8760000002</v>
      </c>
      <c r="P71" s="22">
        <v>5389615.7570000002</v>
      </c>
      <c r="Q71" s="22">
        <v>6240727.4579999996</v>
      </c>
      <c r="R71" s="5">
        <v>11024881.98</v>
      </c>
      <c r="S71" s="5">
        <v>5182902.1540000001</v>
      </c>
      <c r="T71" s="22">
        <v>8173925.8949999996</v>
      </c>
      <c r="V71" s="3" t="s">
        <v>4</v>
      </c>
      <c r="W71" s="5">
        <v>10000000</v>
      </c>
      <c r="X71" s="22">
        <v>5568344.6320187198</v>
      </c>
      <c r="Y71" s="22">
        <v>10908743.539662801</v>
      </c>
      <c r="Z71" s="22">
        <v>9525479.24445967</v>
      </c>
      <c r="AA71" s="5">
        <v>10050340.4986999</v>
      </c>
      <c r="AB71" s="5">
        <v>8802603.2904190701</v>
      </c>
      <c r="AC71" s="22">
        <v>6040468.3159079598</v>
      </c>
    </row>
    <row r="72" spans="2:29" x14ac:dyDescent="0.45">
      <c r="K72" s="30"/>
      <c r="M72" s="25" t="s">
        <v>15</v>
      </c>
      <c r="N72" s="4"/>
      <c r="O72" s="10">
        <f t="shared" ref="O72:T72" si="64">ABS($C$26-O71)/$C$26</f>
        <v>0.62386241239999995</v>
      </c>
      <c r="P72" s="10">
        <f t="shared" si="64"/>
        <v>0.46103842429999997</v>
      </c>
      <c r="Q72" s="10">
        <f t="shared" si="64"/>
        <v>0.37592725420000006</v>
      </c>
      <c r="R72" s="10">
        <f t="shared" si="64"/>
        <v>0.10248819800000004</v>
      </c>
      <c r="S72" s="10">
        <f t="shared" si="64"/>
        <v>0.48170978459999997</v>
      </c>
      <c r="T72" s="10">
        <f t="shared" si="64"/>
        <v>0.18260741050000004</v>
      </c>
      <c r="V72" s="25" t="s">
        <v>15</v>
      </c>
      <c r="W72" s="4"/>
      <c r="X72" s="10">
        <f t="shared" ref="X72:AC72" si="65">ABS($C$26-X71)/$C$26</f>
        <v>0.44316553679812803</v>
      </c>
      <c r="Y72" s="10">
        <f t="shared" si="65"/>
        <v>9.0874353966280075E-2</v>
      </c>
      <c r="Z72" s="10">
        <f t="shared" si="65"/>
        <v>4.7452075554032996E-2</v>
      </c>
      <c r="AA72" s="10">
        <f t="shared" si="65"/>
        <v>5.0340498699899764E-3</v>
      </c>
      <c r="AB72" s="10">
        <f t="shared" si="65"/>
        <v>0.119739670958093</v>
      </c>
      <c r="AC72" s="10">
        <f t="shared" si="65"/>
        <v>0.39595316840920403</v>
      </c>
    </row>
    <row r="73" spans="2:29" x14ac:dyDescent="0.45">
      <c r="K73" s="30"/>
      <c r="M73" s="16" t="s">
        <v>5</v>
      </c>
      <c r="N73" s="17">
        <v>15000000</v>
      </c>
      <c r="O73" s="18">
        <v>12458389.862673201</v>
      </c>
      <c r="P73" s="18">
        <v>18833346.2421926</v>
      </c>
      <c r="Q73" s="18">
        <v>20267798.5267055</v>
      </c>
      <c r="R73" s="17">
        <v>13881457.76</v>
      </c>
      <c r="S73" s="17">
        <v>17636818.75</v>
      </c>
      <c r="T73" s="18">
        <v>23017228.356997699</v>
      </c>
      <c r="V73" s="16" t="s">
        <v>5</v>
      </c>
      <c r="W73" s="17">
        <v>15000000</v>
      </c>
      <c r="X73" s="18">
        <v>28543893.977015302</v>
      </c>
      <c r="Y73" s="18">
        <v>15630449.337136401</v>
      </c>
      <c r="Z73" s="18">
        <v>11343814.154990399</v>
      </c>
      <c r="AA73" s="17">
        <v>16551544.6376865</v>
      </c>
      <c r="AB73" s="17">
        <v>24451479.4219025</v>
      </c>
      <c r="AC73" s="18">
        <v>21356279.821541298</v>
      </c>
    </row>
    <row r="74" spans="2:29" x14ac:dyDescent="0.45">
      <c r="K74" s="30"/>
      <c r="M74" s="19" t="s">
        <v>15</v>
      </c>
      <c r="N74" s="19"/>
      <c r="O74" s="26">
        <f t="shared" ref="O74:T74" si="66">ABS($C$28-O73)/$C$28</f>
        <v>0.16944067582178662</v>
      </c>
      <c r="P74" s="26">
        <f t="shared" si="66"/>
        <v>0.2555564161461733</v>
      </c>
      <c r="Q74" s="26">
        <f t="shared" si="66"/>
        <v>0.35118656844703333</v>
      </c>
      <c r="R74" s="26">
        <f t="shared" si="66"/>
        <v>7.4569482666666687E-2</v>
      </c>
      <c r="S74" s="26">
        <f t="shared" si="66"/>
        <v>0.17578791666666665</v>
      </c>
      <c r="T74" s="26">
        <f t="shared" si="66"/>
        <v>0.53448189046651329</v>
      </c>
      <c r="V74" s="19" t="s">
        <v>15</v>
      </c>
      <c r="W74" s="19"/>
      <c r="X74" s="26">
        <f t="shared" ref="X74:AC74" si="67">ABS($C$28-X73)/$C$28</f>
        <v>0.90292626513435348</v>
      </c>
      <c r="Y74" s="26">
        <f t="shared" si="67"/>
        <v>4.202995580909339E-2</v>
      </c>
      <c r="Z74" s="26">
        <f t="shared" si="67"/>
        <v>0.24374572300064004</v>
      </c>
      <c r="AA74" s="26">
        <f t="shared" si="67"/>
        <v>0.10343630917910002</v>
      </c>
      <c r="AB74" s="26">
        <f t="shared" si="67"/>
        <v>0.63009862812683337</v>
      </c>
      <c r="AC74" s="26">
        <f t="shared" si="67"/>
        <v>0.42375198810275322</v>
      </c>
    </row>
    <row r="75" spans="2:29" x14ac:dyDescent="0.45">
      <c r="K75" s="30"/>
      <c r="M75" s="3" t="s">
        <v>6</v>
      </c>
      <c r="N75" s="5">
        <v>18000000</v>
      </c>
      <c r="O75" s="22">
        <v>32022346.897027999</v>
      </c>
      <c r="P75" s="22">
        <v>28421535.148357801</v>
      </c>
      <c r="Q75" s="22">
        <v>38665165.925974302</v>
      </c>
      <c r="R75" s="5">
        <v>20277094.593454499</v>
      </c>
      <c r="S75" s="5">
        <v>20832015.427658699</v>
      </c>
      <c r="T75" s="22">
        <v>27112622.219999999</v>
      </c>
      <c r="V75" s="3" t="s">
        <v>6</v>
      </c>
      <c r="W75" s="5">
        <v>18000000</v>
      </c>
      <c r="X75" s="22">
        <v>9148008.7569416501</v>
      </c>
      <c r="Y75" s="22">
        <v>14834183.1950118</v>
      </c>
      <c r="Z75" s="22">
        <v>17628939.6405419</v>
      </c>
      <c r="AA75" s="5">
        <v>19082001.635890901</v>
      </c>
      <c r="AB75" s="5">
        <v>23156699.8616236</v>
      </c>
      <c r="AC75" s="22">
        <v>17377003.032359499</v>
      </c>
    </row>
    <row r="76" spans="2:29" x14ac:dyDescent="0.45">
      <c r="K76" s="30"/>
      <c r="M76" s="25" t="s">
        <v>15</v>
      </c>
      <c r="N76" s="4"/>
      <c r="O76" s="10">
        <f t="shared" ref="O76:T76" si="68">ABS($C$30-O75)/$C$30</f>
        <v>0.77901927205711108</v>
      </c>
      <c r="P76" s="10">
        <f t="shared" si="68"/>
        <v>0.57897417490876668</v>
      </c>
      <c r="Q76" s="10">
        <f t="shared" si="68"/>
        <v>1.148064773665239</v>
      </c>
      <c r="R76" s="10">
        <f t="shared" si="68"/>
        <v>0.1265052551919166</v>
      </c>
      <c r="S76" s="10">
        <f t="shared" si="68"/>
        <v>0.1573341904254833</v>
      </c>
      <c r="T76" s="10">
        <f t="shared" si="68"/>
        <v>0.5062567899999999</v>
      </c>
      <c r="V76" s="25" t="s">
        <v>15</v>
      </c>
      <c r="W76" s="4"/>
      <c r="X76" s="10">
        <f t="shared" ref="X76:AC76" si="69">ABS($C$30-X75)/$C$30</f>
        <v>0.49177729128101944</v>
      </c>
      <c r="Y76" s="10">
        <f t="shared" si="69"/>
        <v>0.17587871138823333</v>
      </c>
      <c r="Z76" s="10">
        <f t="shared" si="69"/>
        <v>2.0614464414338892E-2</v>
      </c>
      <c r="AA76" s="10">
        <f t="shared" si="69"/>
        <v>6.0111201993938948E-2</v>
      </c>
      <c r="AB76" s="10">
        <f t="shared" si="69"/>
        <v>0.28648332564575557</v>
      </c>
      <c r="AC76" s="10">
        <f t="shared" si="69"/>
        <v>3.4610942646694474E-2</v>
      </c>
    </row>
    <row r="77" spans="2:29" x14ac:dyDescent="0.45">
      <c r="K77" s="30"/>
      <c r="M77" s="16" t="s">
        <v>7</v>
      </c>
      <c r="N77" s="17">
        <v>13000000</v>
      </c>
      <c r="O77" s="17">
        <v>10060567.066008801</v>
      </c>
      <c r="P77" s="18">
        <v>11367169.34</v>
      </c>
      <c r="Q77" s="18">
        <v>21838399.561099101</v>
      </c>
      <c r="R77" s="17">
        <v>15418378.959631</v>
      </c>
      <c r="S77" s="18">
        <v>13007599.699999999</v>
      </c>
      <c r="T77" s="18">
        <v>24112903.640262499</v>
      </c>
      <c r="V77" s="16" t="s">
        <v>7</v>
      </c>
      <c r="W77" s="17">
        <v>13000000</v>
      </c>
      <c r="X77" s="17">
        <v>32843421.863562901</v>
      </c>
      <c r="Y77" s="18">
        <v>16266834.2805812</v>
      </c>
      <c r="Z77" s="18">
        <v>18179060.8817637</v>
      </c>
      <c r="AA77" s="17">
        <v>13299241.105068401</v>
      </c>
      <c r="AB77" s="18">
        <v>27501901.034130398</v>
      </c>
      <c r="AC77" s="18">
        <v>22209193.5578188</v>
      </c>
    </row>
    <row r="78" spans="2:29" ht="14.65" thickBot="1" x14ac:dyDescent="0.5">
      <c r="K78" s="30"/>
      <c r="M78" s="23" t="s">
        <v>15</v>
      </c>
      <c r="N78" s="23"/>
      <c r="O78" s="24">
        <f t="shared" ref="O78:T78" si="70">ABS($C$32-O77)/$C$32</f>
        <v>0.22611022569163072</v>
      </c>
      <c r="P78" s="24">
        <f t="shared" si="70"/>
        <v>0.12560235846153847</v>
      </c>
      <c r="Q78" s="24">
        <f t="shared" si="70"/>
        <v>0.67987688931531542</v>
      </c>
      <c r="R78" s="24">
        <f t="shared" si="70"/>
        <v>0.18602915074084614</v>
      </c>
      <c r="S78" s="24">
        <f t="shared" si="70"/>
        <v>5.8459230769225036E-4</v>
      </c>
      <c r="T78" s="24">
        <f t="shared" si="70"/>
        <v>0.8548387415586538</v>
      </c>
      <c r="V78" s="23" t="s">
        <v>15</v>
      </c>
      <c r="W78" s="23"/>
      <c r="X78" s="24">
        <f t="shared" ref="X78:AC78" si="71">ABS($C$32-X77)/$C$32</f>
        <v>1.5264170664279155</v>
      </c>
      <c r="Y78" s="24">
        <f t="shared" si="71"/>
        <v>0.25129494466009233</v>
      </c>
      <c r="Z78" s="24">
        <f t="shared" si="71"/>
        <v>0.39838929859720773</v>
      </c>
      <c r="AA78" s="24">
        <f t="shared" si="71"/>
        <v>2.3018546543723116E-2</v>
      </c>
      <c r="AB78" s="24">
        <f t="shared" si="71"/>
        <v>1.1155308487792615</v>
      </c>
      <c r="AC78" s="24">
        <f t="shared" si="71"/>
        <v>0.70839950444760003</v>
      </c>
    </row>
    <row r="79" spans="2:29" ht="14.65" thickTop="1" x14ac:dyDescent="0.45">
      <c r="K79" s="30"/>
    </row>
    <row r="80" spans="2:29" x14ac:dyDescent="0.45">
      <c r="K80" s="30"/>
    </row>
    <row r="81" spans="11:20" x14ac:dyDescent="0.45">
      <c r="K81" s="30"/>
    </row>
    <row r="82" spans="11:20" x14ac:dyDescent="0.45">
      <c r="K82" s="30"/>
    </row>
    <row r="83" spans="11:20" x14ac:dyDescent="0.45">
      <c r="K83" s="30"/>
    </row>
    <row r="84" spans="11:20" x14ac:dyDescent="0.45">
      <c r="K84" s="30"/>
    </row>
    <row r="85" spans="11:20" x14ac:dyDescent="0.45">
      <c r="K85" s="30"/>
    </row>
    <row r="86" spans="11:20" x14ac:dyDescent="0.45">
      <c r="K86" s="30"/>
    </row>
    <row r="87" spans="11:20" ht="14.65" thickBot="1" x14ac:dyDescent="0.5">
      <c r="K87" s="30"/>
    </row>
    <row r="88" spans="11:20" ht="15" thickTop="1" thickBot="1" x14ac:dyDescent="0.5">
      <c r="K88" s="30"/>
      <c r="M88" s="65" t="s">
        <v>35</v>
      </c>
      <c r="N88" s="65"/>
      <c r="O88" s="65"/>
      <c r="P88" s="65"/>
      <c r="Q88" s="65"/>
      <c r="R88" s="65"/>
      <c r="S88" s="65"/>
      <c r="T88" s="65"/>
    </row>
    <row r="89" spans="11:20" ht="14.65" thickTop="1" x14ac:dyDescent="0.45">
      <c r="K89" s="30"/>
      <c r="M89" s="6" t="s">
        <v>16</v>
      </c>
      <c r="N89" s="66">
        <v>50</v>
      </c>
      <c r="O89" s="66"/>
      <c r="P89" s="66"/>
      <c r="Q89" s="6" t="s">
        <v>17</v>
      </c>
      <c r="R89" s="66">
        <v>30</v>
      </c>
      <c r="S89" s="66"/>
      <c r="T89" s="66"/>
    </row>
    <row r="90" spans="11:20" x14ac:dyDescent="0.45">
      <c r="K90" s="30"/>
      <c r="M90" s="2"/>
      <c r="N90" s="1" t="s">
        <v>8</v>
      </c>
      <c r="O90" s="1" t="s">
        <v>9</v>
      </c>
      <c r="P90" s="1" t="s">
        <v>10</v>
      </c>
      <c r="Q90" s="1" t="s">
        <v>11</v>
      </c>
      <c r="R90" s="1" t="s">
        <v>12</v>
      </c>
      <c r="S90" s="1" t="s">
        <v>13</v>
      </c>
      <c r="T90" s="1" t="s">
        <v>14</v>
      </c>
    </row>
    <row r="91" spans="11:20" x14ac:dyDescent="0.45">
      <c r="K91" s="30"/>
      <c r="M91" s="7" t="s">
        <v>0</v>
      </c>
      <c r="N91" s="37"/>
      <c r="O91" s="35">
        <f>AVERAGE(O6,X6,X45,O45)</f>
        <v>1.9845956423206124E-2</v>
      </c>
      <c r="P91" s="35">
        <f t="shared" ref="P91:T93" si="72">AVERAGE(P6,Y6,Y45,P45)</f>
        <v>0.18960470187027101</v>
      </c>
      <c r="Q91" s="35">
        <f t="shared" si="72"/>
        <v>0.49940474930428003</v>
      </c>
      <c r="R91" s="35">
        <f t="shared" si="72"/>
        <v>1.6013289873896254E-2</v>
      </c>
      <c r="S91" s="29">
        <f t="shared" si="72"/>
        <v>0.19627977116010453</v>
      </c>
      <c r="T91" s="29">
        <f t="shared" si="72"/>
        <v>0.63135575576770975</v>
      </c>
    </row>
    <row r="92" spans="11:20" x14ac:dyDescent="0.45">
      <c r="K92" s="30"/>
      <c r="M92" s="4" t="s">
        <v>24</v>
      </c>
      <c r="N92" s="20"/>
      <c r="O92" s="14"/>
      <c r="P92" s="15"/>
      <c r="Q92" s="14"/>
      <c r="R92" s="29">
        <f t="shared" si="72"/>
        <v>1.5190235848714612E-2</v>
      </c>
      <c r="S92" s="29">
        <f t="shared" si="72"/>
        <v>0.18179694897491902</v>
      </c>
      <c r="T92" s="29">
        <f t="shared" si="72"/>
        <v>0.53953724837221095</v>
      </c>
    </row>
    <row r="93" spans="11:20" x14ac:dyDescent="0.45">
      <c r="K93" s="30"/>
      <c r="M93" s="4" t="s">
        <v>27</v>
      </c>
      <c r="N93" s="20"/>
      <c r="O93" s="14"/>
      <c r="P93" s="15"/>
      <c r="Q93" s="14"/>
      <c r="R93" s="29">
        <f t="shared" si="72"/>
        <v>8.2305403251466916E-4</v>
      </c>
      <c r="S93" s="29">
        <f t="shared" si="72"/>
        <v>1.4482822276262425E-2</v>
      </c>
      <c r="T93" s="29">
        <f t="shared" si="72"/>
        <v>9.1818507395498294E-2</v>
      </c>
    </row>
    <row r="94" spans="11:20" x14ac:dyDescent="0.45">
      <c r="K94" s="30"/>
      <c r="M94" s="16" t="s">
        <v>1</v>
      </c>
      <c r="N94" s="17">
        <v>23000000000</v>
      </c>
      <c r="O94" s="17">
        <f>AVERAGE(O9,X9,X48,O48)</f>
        <v>23507219671.970772</v>
      </c>
      <c r="P94" s="17">
        <f t="shared" ref="P94:T94" si="73">AVERAGE(P9,Y9,Y48,P48)</f>
        <v>22851377842.635651</v>
      </c>
      <c r="Q94" s="17">
        <f t="shared" si="73"/>
        <v>22505642645.109352</v>
      </c>
      <c r="R94" s="17">
        <f t="shared" si="73"/>
        <v>23311627224.970474</v>
      </c>
      <c r="S94" s="17">
        <f t="shared" si="73"/>
        <v>23067962508.134674</v>
      </c>
      <c r="T94" s="17">
        <f t="shared" si="73"/>
        <v>22019361053.599327</v>
      </c>
    </row>
    <row r="95" spans="11:20" x14ac:dyDescent="0.45">
      <c r="K95" s="30"/>
      <c r="M95" s="19" t="s">
        <v>18</v>
      </c>
      <c r="N95" s="19"/>
      <c r="O95" s="13">
        <f t="shared" ref="O95:T95" si="74">ABS($C$5-O94)/$C$5</f>
        <v>2.2053029216120512E-2</v>
      </c>
      <c r="P95" s="13">
        <f t="shared" si="74"/>
        <v>6.4618329288847554E-3</v>
      </c>
      <c r="Q95" s="13">
        <f t="shared" si="74"/>
        <v>2.1493798038723821E-2</v>
      </c>
      <c r="R95" s="13">
        <f t="shared" si="74"/>
        <v>1.3549009781324967E-2</v>
      </c>
      <c r="S95" s="13">
        <f t="shared" si="74"/>
        <v>2.9548916580293075E-3</v>
      </c>
      <c r="T95" s="13">
        <f t="shared" si="74"/>
        <v>4.2636475930464039E-2</v>
      </c>
    </row>
    <row r="96" spans="11:20" x14ac:dyDescent="0.45">
      <c r="K96" s="30"/>
      <c r="M96" s="3" t="s">
        <v>2</v>
      </c>
      <c r="N96" s="4">
        <v>0.2</v>
      </c>
      <c r="O96" s="4">
        <v>0.27633795999999999</v>
      </c>
      <c r="P96" s="4">
        <v>0.15728002999999999</v>
      </c>
      <c r="Q96" s="4">
        <v>0.42970615000000001</v>
      </c>
      <c r="R96" s="4">
        <v>0.22766955</v>
      </c>
      <c r="S96" s="4">
        <v>0.31433999000000001</v>
      </c>
      <c r="T96" s="4">
        <v>0.43694159999999999</v>
      </c>
    </row>
    <row r="97" spans="11:20" x14ac:dyDescent="0.45">
      <c r="K97" s="30"/>
      <c r="M97" s="25" t="s">
        <v>18</v>
      </c>
      <c r="N97" s="4"/>
      <c r="O97" s="9">
        <f t="shared" ref="O97:T97" si="75">ABS($C$7-O96)/$C$7</f>
        <v>0.38168979999999991</v>
      </c>
      <c r="P97" s="9">
        <f t="shared" si="75"/>
        <v>0.21359985000000012</v>
      </c>
      <c r="Q97" s="9">
        <f t="shared" si="75"/>
        <v>1.1485307499999999</v>
      </c>
      <c r="R97" s="9">
        <f t="shared" si="75"/>
        <v>0.13834774999999994</v>
      </c>
      <c r="S97" s="9">
        <f t="shared" si="75"/>
        <v>0.57169994999999996</v>
      </c>
      <c r="T97" s="9">
        <f t="shared" si="75"/>
        <v>1.1847079999999999</v>
      </c>
    </row>
    <row r="98" spans="11:20" x14ac:dyDescent="0.45">
      <c r="K98" s="30"/>
      <c r="M98" s="16" t="s">
        <v>3</v>
      </c>
      <c r="N98" s="21">
        <v>2500</v>
      </c>
      <c r="O98" s="21">
        <f>AVERAGE(O13,X13,X52,O52)</f>
        <v>2542.4991662749999</v>
      </c>
      <c r="P98" s="21">
        <f t="shared" ref="P98" si="76">AVERAGE(P13,Y13,Y52,P52)</f>
        <v>2542.1136514175</v>
      </c>
      <c r="Q98" s="21">
        <f t="shared" ref="Q98" si="77">AVERAGE(Q13,Z13,Z52,Q52)</f>
        <v>2518.4542150249999</v>
      </c>
      <c r="R98" s="21">
        <f t="shared" ref="R98" si="78">AVERAGE(R13,AA13,AA52,R52)</f>
        <v>2532.6632215</v>
      </c>
      <c r="S98" s="21">
        <f t="shared" ref="S98" si="79">AVERAGE(S13,AB13,AB52,S52)</f>
        <v>2504.3552026249999</v>
      </c>
      <c r="T98" s="21">
        <f t="shared" ref="T98" si="80">AVERAGE(T13,AC13,AC52,T52)</f>
        <v>2505.4334846249999</v>
      </c>
    </row>
    <row r="99" spans="11:20" x14ac:dyDescent="0.45">
      <c r="K99" s="30"/>
      <c r="M99" s="16" t="s">
        <v>15</v>
      </c>
      <c r="N99" s="19"/>
      <c r="O99" s="13">
        <f t="shared" ref="O99:T99" si="81">ABS($C$9-O98)/$C$9</f>
        <v>1.6999666509999952E-2</v>
      </c>
      <c r="P99" s="13">
        <f t="shared" si="81"/>
        <v>1.6845460567000009E-2</v>
      </c>
      <c r="Q99" s="13">
        <f t="shared" si="81"/>
        <v>7.3816860099999758E-3</v>
      </c>
      <c r="R99" s="13">
        <f t="shared" si="81"/>
        <v>1.3065288599999985E-2</v>
      </c>
      <c r="S99" s="13">
        <f t="shared" si="81"/>
        <v>1.7420810499999789E-3</v>
      </c>
      <c r="T99" s="13">
        <f t="shared" si="81"/>
        <v>2.1733938499999567E-3</v>
      </c>
    </row>
    <row r="100" spans="11:20" x14ac:dyDescent="0.45">
      <c r="K100" s="30"/>
      <c r="M100" s="3" t="s">
        <v>4</v>
      </c>
      <c r="N100" s="5">
        <v>10000000</v>
      </c>
      <c r="O100" s="5">
        <f>AVERAGE(O15,X15,X54,O54)</f>
        <v>10001821.115979668</v>
      </c>
      <c r="P100" s="5">
        <f t="shared" ref="P100" si="82">AVERAGE(P15,Y15,Y54,P54)</f>
        <v>11038533.950779542</v>
      </c>
      <c r="Q100" s="5">
        <f t="shared" ref="Q100" si="83">AVERAGE(Q15,Z15,Z54,Q54)</f>
        <v>10009944.442399483</v>
      </c>
      <c r="R100" s="5">
        <f t="shared" ref="R100" si="84">AVERAGE(R15,AA15,AA54,R54)</f>
        <v>9979491.6259642746</v>
      </c>
      <c r="S100" s="5">
        <f t="shared" ref="S100" si="85">AVERAGE(S15,AB15,AB54,S54)</f>
        <v>10355064.828694824</v>
      </c>
      <c r="T100" s="5">
        <f t="shared" ref="T100" si="86">AVERAGE(T15,AC15,AC54,T54)</f>
        <v>8681039.8499598615</v>
      </c>
    </row>
    <row r="101" spans="11:20" x14ac:dyDescent="0.45">
      <c r="K101" s="30"/>
      <c r="M101" s="25" t="s">
        <v>18</v>
      </c>
      <c r="N101" s="4"/>
      <c r="O101" s="10">
        <f t="shared" ref="O101:T101" si="87">ABS($C$11-O100)/$C$11</f>
        <v>1.8211159796677529E-4</v>
      </c>
      <c r="P101" s="10">
        <f t="shared" si="87"/>
        <v>0.10385339507795423</v>
      </c>
      <c r="Q101" s="10">
        <f t="shared" si="87"/>
        <v>9.9444423994831744E-4</v>
      </c>
      <c r="R101" s="10">
        <f t="shared" si="87"/>
        <v>2.0508374035725372E-3</v>
      </c>
      <c r="S101" s="10">
        <f t="shared" si="87"/>
        <v>3.5506482869482416E-2</v>
      </c>
      <c r="T101" s="10">
        <f t="shared" si="87"/>
        <v>0.13189601500401385</v>
      </c>
    </row>
    <row r="102" spans="11:20" x14ac:dyDescent="0.45">
      <c r="K102" s="30"/>
      <c r="M102" s="16" t="s">
        <v>5</v>
      </c>
      <c r="N102" s="17">
        <v>15000000</v>
      </c>
      <c r="O102" s="17">
        <f>AVERAGE(O17,X17,X56,O56)</f>
        <v>15432306.960511575</v>
      </c>
      <c r="P102" s="17">
        <f t="shared" ref="P102" si="88">AVERAGE(P17,Y17,Y56,P56)</f>
        <v>14877901.750749201</v>
      </c>
      <c r="Q102" s="17">
        <f t="shared" ref="Q102" si="89">AVERAGE(Q17,Z17,Z56,Q56)</f>
        <v>16982652.800856203</v>
      </c>
      <c r="R102" s="17">
        <f t="shared" ref="R102" si="90">AVERAGE(R17,AA17,AA56,R56)</f>
        <v>15526944.988891125</v>
      </c>
      <c r="S102" s="17">
        <f t="shared" ref="S102" si="91">AVERAGE(S17,AB17,AB56,S56)</f>
        <v>14808374.285972025</v>
      </c>
      <c r="T102" s="17">
        <f t="shared" ref="T102" si="92">AVERAGE(T17,AC17,AC56,T56)</f>
        <v>16730350.6270975</v>
      </c>
    </row>
    <row r="103" spans="11:20" ht="14.65" thickBot="1" x14ac:dyDescent="0.5">
      <c r="K103" s="30"/>
      <c r="M103" s="23" t="s">
        <v>18</v>
      </c>
      <c r="N103" s="23"/>
      <c r="O103" s="24">
        <f t="shared" ref="O103:T103" si="93">ABS($C$13-O102)/$C$13</f>
        <v>2.8820464034104969E-2</v>
      </c>
      <c r="P103" s="24">
        <f t="shared" si="93"/>
        <v>8.1398832833866272E-3</v>
      </c>
      <c r="Q103" s="24">
        <f t="shared" si="93"/>
        <v>0.13217685339041352</v>
      </c>
      <c r="R103" s="24">
        <f t="shared" si="93"/>
        <v>3.5129665926074985E-2</v>
      </c>
      <c r="S103" s="24">
        <f t="shared" si="93"/>
        <v>1.2775047601864984E-2</v>
      </c>
      <c r="T103" s="24">
        <f t="shared" si="93"/>
        <v>0.1153567084731667</v>
      </c>
    </row>
    <row r="104" spans="11:20" ht="15" thickTop="1" thickBot="1" x14ac:dyDescent="0.5">
      <c r="K104" s="30"/>
      <c r="M104" s="19" t="s">
        <v>23</v>
      </c>
      <c r="N104" s="19"/>
      <c r="O104" s="33" t="s">
        <v>28</v>
      </c>
      <c r="P104" s="13"/>
      <c r="Q104" s="13"/>
      <c r="R104" s="13"/>
      <c r="S104" s="13"/>
      <c r="T104" s="13"/>
    </row>
    <row r="105" spans="11:20" ht="14.65" thickTop="1" x14ac:dyDescent="0.45">
      <c r="K105" s="30"/>
      <c r="M105" s="67" t="s">
        <v>36</v>
      </c>
      <c r="N105" s="67"/>
      <c r="O105" s="67"/>
      <c r="P105" s="67"/>
      <c r="Q105" s="67"/>
      <c r="R105" s="67"/>
      <c r="S105" s="67"/>
      <c r="T105" s="67"/>
    </row>
    <row r="106" spans="11:20" x14ac:dyDescent="0.45">
      <c r="K106" s="30"/>
      <c r="M106" s="1" t="s">
        <v>16</v>
      </c>
      <c r="N106" s="68">
        <v>70</v>
      </c>
      <c r="O106" s="68"/>
      <c r="P106" s="68"/>
      <c r="Q106" s="1" t="s">
        <v>17</v>
      </c>
      <c r="R106" s="68">
        <v>30</v>
      </c>
      <c r="S106" s="68"/>
      <c r="T106" s="68"/>
    </row>
    <row r="107" spans="11:20" x14ac:dyDescent="0.45">
      <c r="K107" s="30"/>
      <c r="M107" s="2"/>
      <c r="N107" s="1" t="s">
        <v>8</v>
      </c>
      <c r="O107" s="1" t="s">
        <v>9</v>
      </c>
      <c r="P107" s="1" t="s">
        <v>10</v>
      </c>
      <c r="Q107" s="1" t="s">
        <v>11</v>
      </c>
      <c r="R107" s="1" t="s">
        <v>12</v>
      </c>
      <c r="S107" s="1" t="s">
        <v>13</v>
      </c>
      <c r="T107" s="1" t="s">
        <v>14</v>
      </c>
    </row>
    <row r="108" spans="11:20" x14ac:dyDescent="0.45">
      <c r="K108" s="30"/>
      <c r="M108" s="7" t="s">
        <v>0</v>
      </c>
      <c r="N108" s="8"/>
      <c r="O108" s="32">
        <f>AVERAGE(O23,X23,O62,X62)</f>
        <v>0.58388845936573275</v>
      </c>
      <c r="P108" s="32">
        <f t="shared" ref="P108:T108" si="94">AVERAGE(P23,Y23,P62,Y62)</f>
        <v>0.53412508616357601</v>
      </c>
      <c r="Q108" s="32">
        <f t="shared" si="94"/>
        <v>1.4756661823380735</v>
      </c>
      <c r="R108" s="29">
        <f t="shared" si="94"/>
        <v>0.24221126075266472</v>
      </c>
      <c r="S108" s="29">
        <f t="shared" si="94"/>
        <v>2.1996083389922445</v>
      </c>
      <c r="T108" s="29">
        <f t="shared" si="94"/>
        <v>2.6720338405459523</v>
      </c>
    </row>
    <row r="109" spans="11:20" x14ac:dyDescent="0.45">
      <c r="K109" s="30"/>
      <c r="M109" s="4" t="s">
        <v>24</v>
      </c>
      <c r="N109" s="20"/>
      <c r="O109" s="14"/>
      <c r="P109" s="15"/>
      <c r="Q109" s="14"/>
      <c r="R109" s="29"/>
      <c r="S109" s="29">
        <f t="shared" ref="S109:S111" si="95">AVERAGE(S24,AB24,S63,AB63)</f>
        <v>1.0491682994307272</v>
      </c>
      <c r="T109" s="29">
        <f t="shared" ref="T109:T111" si="96">AVERAGE(T24,AC24,T63,AC63)</f>
        <v>1.6752783241970874</v>
      </c>
    </row>
    <row r="110" spans="11:20" x14ac:dyDescent="0.45">
      <c r="K110" s="30"/>
      <c r="M110" s="4" t="s">
        <v>27</v>
      </c>
      <c r="N110" s="20"/>
      <c r="O110" s="14"/>
      <c r="P110" s="15"/>
      <c r="Q110" s="14"/>
      <c r="R110" s="29"/>
      <c r="S110" s="29">
        <f t="shared" si="95"/>
        <v>1.1504400395615142</v>
      </c>
      <c r="T110" s="29">
        <f t="shared" si="96"/>
        <v>0.9967555163488625</v>
      </c>
    </row>
    <row r="111" spans="11:20" x14ac:dyDescent="0.45">
      <c r="K111" s="30"/>
      <c r="M111" s="16" t="s">
        <v>1</v>
      </c>
      <c r="N111" s="17">
        <v>23000000000</v>
      </c>
      <c r="O111" s="18">
        <f>AVERAGE(O26,X26,O65,X65)</f>
        <v>24000841046.389824</v>
      </c>
      <c r="P111" s="18">
        <f t="shared" ref="P111" si="97">AVERAGE(P26,Y26,P65,Y65)</f>
        <v>23189623356.735249</v>
      </c>
      <c r="Q111" s="18">
        <f t="shared" ref="Q111" si="98">AVERAGE(Q26,Z26,Q65,Z65)</f>
        <v>22880033234.075424</v>
      </c>
      <c r="R111" s="17">
        <f t="shared" ref="R111" si="99">AVERAGE(R26,AA26,R65,AA65)</f>
        <v>24065462063.296349</v>
      </c>
      <c r="S111" s="18">
        <f t="shared" si="95"/>
        <v>23494045537.8041</v>
      </c>
      <c r="T111" s="18">
        <f t="shared" si="96"/>
        <v>23266427455.699848</v>
      </c>
    </row>
    <row r="112" spans="11:20" x14ac:dyDescent="0.45">
      <c r="K112" s="30"/>
      <c r="M112" s="19" t="s">
        <v>15</v>
      </c>
      <c r="N112" s="19"/>
      <c r="O112" s="13">
        <f t="shared" ref="O112:T112" si="100">ABS($C$20-O111)/$C$20</f>
        <v>4.351482810390539E-2</v>
      </c>
      <c r="P112" s="13">
        <f t="shared" si="100"/>
        <v>8.2444937710977641E-3</v>
      </c>
      <c r="Q112" s="13">
        <f t="shared" si="100"/>
        <v>5.2159463445467739E-3</v>
      </c>
      <c r="R112" s="13">
        <f t="shared" si="100"/>
        <v>4.6324437534623848E-2</v>
      </c>
      <c r="S112" s="13">
        <f t="shared" si="100"/>
        <v>2.1480240774091306E-2</v>
      </c>
      <c r="T112" s="13">
        <f t="shared" si="100"/>
        <v>1.158380242173253E-2</v>
      </c>
    </row>
    <row r="113" spans="11:20" x14ac:dyDescent="0.45">
      <c r="K113" s="30"/>
      <c r="M113" s="3" t="s">
        <v>2</v>
      </c>
      <c r="N113" s="4">
        <v>0.2</v>
      </c>
      <c r="O113" s="20">
        <v>0.20832289000000001</v>
      </c>
      <c r="P113" s="14">
        <v>0.12192227999999999</v>
      </c>
      <c r="Q113" s="14">
        <v>0.18193967999999999</v>
      </c>
      <c r="R113" s="14"/>
      <c r="S113" s="14">
        <v>0.14642417999999999</v>
      </c>
      <c r="T113" s="14">
        <v>0.11405975</v>
      </c>
    </row>
    <row r="114" spans="11:20" x14ac:dyDescent="0.45">
      <c r="K114" s="30"/>
      <c r="M114" s="25" t="s">
        <v>15</v>
      </c>
      <c r="N114" s="4"/>
      <c r="O114" s="9">
        <f t="shared" ref="O114:T114" si="101">ABS($C$22-O113)/$C$22</f>
        <v>4.1614449999999997E-2</v>
      </c>
      <c r="P114" s="9">
        <f t="shared" si="101"/>
        <v>0.39038860000000009</v>
      </c>
      <c r="Q114" s="9">
        <f t="shared" si="101"/>
        <v>9.0301600000000093E-2</v>
      </c>
      <c r="R114" s="9">
        <f t="shared" si="101"/>
        <v>1</v>
      </c>
      <c r="S114" s="9">
        <f t="shared" si="101"/>
        <v>0.26787910000000009</v>
      </c>
      <c r="T114" s="9">
        <f t="shared" si="101"/>
        <v>0.42970125000000003</v>
      </c>
    </row>
    <row r="115" spans="11:20" x14ac:dyDescent="0.45">
      <c r="K115" s="30"/>
      <c r="M115" s="16" t="s">
        <v>3</v>
      </c>
      <c r="N115" s="19">
        <v>2500</v>
      </c>
      <c r="O115" s="21">
        <f>AVERAGE(O30,X30,O69,X69)</f>
        <v>2545.9001257374998</v>
      </c>
      <c r="P115" s="21">
        <f t="shared" ref="P115" si="102">AVERAGE(P30,Y30,P69,Y69)</f>
        <v>2507.9648851074999</v>
      </c>
      <c r="Q115" s="21">
        <f t="shared" ref="Q115" si="103">AVERAGE(Q30,Z30,Q69,Z69)</f>
        <v>2545.2702994699998</v>
      </c>
      <c r="R115" s="21">
        <f t="shared" ref="R115" si="104">AVERAGE(R30,AA30,R69,AA69)</f>
        <v>2577.1269612650003</v>
      </c>
      <c r="S115" s="21">
        <f t="shared" ref="S115" si="105">AVERAGE(S30,AB30,S69,AB69)</f>
        <v>2509.5619396699999</v>
      </c>
      <c r="T115" s="21">
        <f t="shared" ref="T115" si="106">AVERAGE(T30,AC30,T69,AC69)</f>
        <v>2576.0098429899999</v>
      </c>
    </row>
    <row r="116" spans="11:20" x14ac:dyDescent="0.45">
      <c r="K116" s="30"/>
      <c r="M116" s="16" t="s">
        <v>15</v>
      </c>
      <c r="N116" s="19"/>
      <c r="O116" s="13">
        <f t="shared" ref="O116:T116" si="107">ABS($C$24-O115)/$C$24</f>
        <v>1.8360050294999927E-2</v>
      </c>
      <c r="P116" s="13">
        <f t="shared" si="107"/>
        <v>3.1859540429999469E-3</v>
      </c>
      <c r="Q116" s="13">
        <f t="shared" si="107"/>
        <v>1.8108119787999932E-2</v>
      </c>
      <c r="R116" s="13">
        <f t="shared" si="107"/>
        <v>3.0850784506000126E-2</v>
      </c>
      <c r="S116" s="13">
        <f t="shared" si="107"/>
        <v>3.8247758679999604E-3</v>
      </c>
      <c r="T116" s="13">
        <f t="shared" si="107"/>
        <v>3.0403937195999969E-2</v>
      </c>
    </row>
    <row r="117" spans="11:20" x14ac:dyDescent="0.45">
      <c r="K117" s="30"/>
      <c r="M117" s="3" t="s">
        <v>4</v>
      </c>
      <c r="N117" s="5">
        <v>10000000</v>
      </c>
      <c r="O117" s="22">
        <f>AVERAGE(O32,X32,O71,X71)</f>
        <v>5898049.7180108791</v>
      </c>
      <c r="P117" s="22">
        <f t="shared" ref="P117" si="108">AVERAGE(P32,Y32,P71,Y71)</f>
        <v>8931678.8734157011</v>
      </c>
      <c r="Q117" s="22">
        <f t="shared" ref="Q117" si="109">AVERAGE(Q32,Z32,Q71,Z71)</f>
        <v>7285528.1271149172</v>
      </c>
      <c r="R117" s="5">
        <f t="shared" ref="R117" si="110">AVERAGE(R32,AA32,R71,AA71)</f>
        <v>8857264.7154249735</v>
      </c>
      <c r="S117" s="5">
        <f t="shared" ref="S117" si="111">AVERAGE(S32,AB32,S71,AB71)</f>
        <v>5662186.6706047673</v>
      </c>
      <c r="T117" s="22">
        <f t="shared" ref="T117" si="112">AVERAGE(T32,AC32,T71,AC71)</f>
        <v>8636358.9294769894</v>
      </c>
    </row>
    <row r="118" spans="11:20" x14ac:dyDescent="0.45">
      <c r="K118" s="30"/>
      <c r="M118" s="25" t="s">
        <v>15</v>
      </c>
      <c r="N118" s="4"/>
      <c r="O118" s="10">
        <f t="shared" ref="O118:T118" si="113">ABS($C$26-O117)/$C$26</f>
        <v>0.41019502819891207</v>
      </c>
      <c r="P118" s="10">
        <f t="shared" si="113"/>
        <v>0.10683211265842989</v>
      </c>
      <c r="Q118" s="10">
        <f t="shared" si="113"/>
        <v>0.27144718728850831</v>
      </c>
      <c r="R118" s="10">
        <f t="shared" si="113"/>
        <v>0.11427352845750265</v>
      </c>
      <c r="S118" s="10">
        <f t="shared" si="113"/>
        <v>0.43378133293952326</v>
      </c>
      <c r="T118" s="10">
        <f t="shared" si="113"/>
        <v>0.13636410705230106</v>
      </c>
    </row>
    <row r="119" spans="11:20" x14ac:dyDescent="0.45">
      <c r="K119" s="30"/>
      <c r="M119" s="16" t="s">
        <v>5</v>
      </c>
      <c r="N119" s="17">
        <v>15000000</v>
      </c>
      <c r="O119" s="18">
        <f>AVERAGE(O34,X34,O73,X73)</f>
        <v>21835788.184242751</v>
      </c>
      <c r="P119" s="18">
        <f t="shared" ref="P119" si="114">AVERAGE(P34,Y34,P73,Y73)</f>
        <v>16443755.241843052</v>
      </c>
      <c r="Q119" s="18">
        <f t="shared" ref="Q119" si="115">AVERAGE(Q34,Z34,Q73,Z73)</f>
        <v>15188678.300231701</v>
      </c>
      <c r="R119" s="17">
        <f t="shared" ref="R119" si="116">AVERAGE(R34,AA34,R73,AA73)</f>
        <v>16609150.549334625</v>
      </c>
      <c r="S119" s="17">
        <f t="shared" ref="S119" si="117">AVERAGE(S34,AB34,S73,AB73)</f>
        <v>31506800.549997427</v>
      </c>
      <c r="T119" s="18">
        <f t="shared" ref="T119" si="118">AVERAGE(T34,AC34,T73,AC73)</f>
        <v>21928761.045144923</v>
      </c>
    </row>
    <row r="120" spans="11:20" x14ac:dyDescent="0.45">
      <c r="K120" s="30"/>
      <c r="M120" s="19" t="s">
        <v>15</v>
      </c>
      <c r="N120" s="19"/>
      <c r="O120" s="26">
        <f t="shared" ref="O120:T120" si="119">ABS($C$28-O119)/$C$28</f>
        <v>0.45571921228285012</v>
      </c>
      <c r="P120" s="26">
        <f t="shared" si="119"/>
        <v>9.6250349456203477E-2</v>
      </c>
      <c r="Q120" s="26">
        <f t="shared" si="119"/>
        <v>1.2578553348780051E-2</v>
      </c>
      <c r="R120" s="26">
        <f t="shared" si="119"/>
        <v>0.10727670328897498</v>
      </c>
      <c r="S120" s="26">
        <f t="shared" si="119"/>
        <v>1.1004533699998285</v>
      </c>
      <c r="T120" s="26">
        <f t="shared" si="119"/>
        <v>0.46191740300966155</v>
      </c>
    </row>
    <row r="121" spans="11:20" x14ac:dyDescent="0.45">
      <c r="K121" s="30"/>
      <c r="M121" s="3" t="s">
        <v>6</v>
      </c>
      <c r="N121" s="5">
        <v>18000000</v>
      </c>
      <c r="O121" s="22">
        <f>AVERAGE(O36,X36,O75,X75)</f>
        <v>29039290.909587886</v>
      </c>
      <c r="P121" s="22">
        <f t="shared" ref="P121" si="120">AVERAGE(P36,Y36,P75,Y75)</f>
        <v>23864876.7674326</v>
      </c>
      <c r="Q121" s="22">
        <f t="shared" ref="Q121" si="121">AVERAGE(Q36,Z36,Q75,Z75)</f>
        <v>27156706.713382024</v>
      </c>
      <c r="R121" s="5">
        <f t="shared" ref="R121" si="122">AVERAGE(R36,AA36,R75,AA75)</f>
        <v>19353251.735602248</v>
      </c>
      <c r="S121" s="5">
        <f t="shared" ref="S121" si="123">AVERAGE(S36,AB36,S75,AB75)</f>
        <v>32414708.387947377</v>
      </c>
      <c r="T121" s="22">
        <f t="shared" ref="T121" si="124">AVERAGE(T36,AC36,T75,AC75)</f>
        <v>27042190.192095723</v>
      </c>
    </row>
    <row r="122" spans="11:20" x14ac:dyDescent="0.45">
      <c r="K122" s="30"/>
      <c r="M122" s="25" t="s">
        <v>15</v>
      </c>
      <c r="N122" s="4"/>
      <c r="O122" s="10">
        <f t="shared" ref="O122:T122" si="125">ABS($C$30-O121)/$C$30</f>
        <v>0.61329393942154919</v>
      </c>
      <c r="P122" s="10">
        <f t="shared" si="125"/>
        <v>0.32582648707958889</v>
      </c>
      <c r="Q122" s="10">
        <f t="shared" si="125"/>
        <v>0.50870592852122354</v>
      </c>
      <c r="R122" s="10">
        <f t="shared" si="125"/>
        <v>7.518065197790269E-2</v>
      </c>
      <c r="S122" s="10">
        <f t="shared" si="125"/>
        <v>0.8008171326637431</v>
      </c>
      <c r="T122" s="10">
        <f t="shared" si="125"/>
        <v>0.50234389956087355</v>
      </c>
    </row>
    <row r="123" spans="11:20" x14ac:dyDescent="0.45">
      <c r="K123" s="30"/>
      <c r="M123" s="16" t="s">
        <v>7</v>
      </c>
      <c r="N123" s="17">
        <v>13000000</v>
      </c>
      <c r="O123" s="17">
        <f>AVERAGE(O38,X38,O77,X77)</f>
        <v>21700205.26560105</v>
      </c>
      <c r="P123" s="18">
        <f t="shared" ref="P123" si="126">AVERAGE(P38,Y38,P77,Y77)</f>
        <v>15672617.75606505</v>
      </c>
      <c r="Q123" s="18">
        <f t="shared" ref="Q123" si="127">AVERAGE(Q38,Z38,Q77,Z77)</f>
        <v>19276190.758425348</v>
      </c>
      <c r="R123" s="17">
        <f t="shared" ref="R123" si="128">AVERAGE(R38,AA38,R77,AA77)</f>
        <v>15589093.523674849</v>
      </c>
      <c r="S123" s="18">
        <f t="shared" ref="S123" si="129">AVERAGE(S38,AB38,S77,AB77)</f>
        <v>21222495.490547199</v>
      </c>
      <c r="T123" s="18">
        <f t="shared" ref="T123" si="130">AVERAGE(T38,AC38,T77,AC77)</f>
        <v>27144295.70508245</v>
      </c>
    </row>
    <row r="124" spans="11:20" ht="14.65" thickBot="1" x14ac:dyDescent="0.5">
      <c r="K124" s="30"/>
      <c r="M124" s="23" t="s">
        <v>15</v>
      </c>
      <c r="N124" s="23"/>
      <c r="O124" s="24">
        <f t="shared" ref="O124:T124" si="131">ABS($C$32-O123)/$C$32</f>
        <v>0.66924655889238849</v>
      </c>
      <c r="P124" s="24">
        <f t="shared" si="131"/>
        <v>0.2055859812357731</v>
      </c>
      <c r="Q124" s="24">
        <f t="shared" si="131"/>
        <v>0.48278390449425751</v>
      </c>
      <c r="R124" s="24">
        <f t="shared" si="131"/>
        <v>0.19916104028268072</v>
      </c>
      <c r="S124" s="24">
        <f t="shared" si="131"/>
        <v>0.63249965311901524</v>
      </c>
      <c r="T124" s="24">
        <f t="shared" si="131"/>
        <v>1.0880227465448038</v>
      </c>
    </row>
    <row r="125" spans="11:20" ht="14.65" thickTop="1" x14ac:dyDescent="0.45">
      <c r="K125" s="30"/>
    </row>
    <row r="126" spans="11:20" x14ac:dyDescent="0.45">
      <c r="K126" s="30"/>
    </row>
    <row r="127" spans="11:20" x14ac:dyDescent="0.45">
      <c r="K127" s="30"/>
    </row>
    <row r="128" spans="11:20" x14ac:dyDescent="0.45">
      <c r="K128" s="30"/>
    </row>
    <row r="129" spans="11:11" x14ac:dyDescent="0.45">
      <c r="K129" s="30"/>
    </row>
    <row r="130" spans="11:11" x14ac:dyDescent="0.45">
      <c r="K130" s="30"/>
    </row>
    <row r="131" spans="11:11" x14ac:dyDescent="0.45">
      <c r="K131" s="30"/>
    </row>
    <row r="132" spans="11:11" x14ac:dyDescent="0.45">
      <c r="K132" s="30"/>
    </row>
    <row r="133" spans="11:11" x14ac:dyDescent="0.45">
      <c r="K133" s="30"/>
    </row>
    <row r="134" spans="11:11" x14ac:dyDescent="0.45">
      <c r="K134" s="30"/>
    </row>
    <row r="135" spans="11:11" x14ac:dyDescent="0.45">
      <c r="K135" s="30"/>
    </row>
    <row r="136" spans="11:11" x14ac:dyDescent="0.45">
      <c r="K136" s="30"/>
    </row>
    <row r="137" spans="11:11" x14ac:dyDescent="0.45">
      <c r="K137" s="30"/>
    </row>
    <row r="138" spans="11:11" x14ac:dyDescent="0.45">
      <c r="K138" s="30"/>
    </row>
    <row r="139" spans="11:11" x14ac:dyDescent="0.45">
      <c r="K139" s="30"/>
    </row>
    <row r="140" spans="11:11" x14ac:dyDescent="0.45">
      <c r="K140" s="30"/>
    </row>
    <row r="141" spans="11:11" x14ac:dyDescent="0.45">
      <c r="K141" s="30"/>
    </row>
    <row r="142" spans="11:11" x14ac:dyDescent="0.45">
      <c r="K142" s="30"/>
    </row>
    <row r="143" spans="11:11" x14ac:dyDescent="0.45">
      <c r="K143" s="30"/>
    </row>
    <row r="144" spans="11:11" x14ac:dyDescent="0.45">
      <c r="K144" s="30"/>
    </row>
    <row r="145" spans="11:11" x14ac:dyDescent="0.45">
      <c r="K145" s="30"/>
    </row>
    <row r="146" spans="11:11" x14ac:dyDescent="0.45">
      <c r="K146" s="30"/>
    </row>
    <row r="147" spans="11:11" x14ac:dyDescent="0.45">
      <c r="K147" s="30"/>
    </row>
    <row r="148" spans="11:11" x14ac:dyDescent="0.45">
      <c r="K148" s="30"/>
    </row>
    <row r="149" spans="11:11" x14ac:dyDescent="0.45">
      <c r="K149" s="30"/>
    </row>
    <row r="150" spans="11:11" x14ac:dyDescent="0.45">
      <c r="K150" s="30"/>
    </row>
    <row r="151" spans="11:11" x14ac:dyDescent="0.45">
      <c r="K151" s="30"/>
    </row>
    <row r="152" spans="11:11" x14ac:dyDescent="0.45">
      <c r="K152" s="30"/>
    </row>
    <row r="153" spans="11:11" x14ac:dyDescent="0.45">
      <c r="K153" s="30"/>
    </row>
    <row r="154" spans="11:11" x14ac:dyDescent="0.45">
      <c r="K154" s="30"/>
    </row>
    <row r="155" spans="11:11" x14ac:dyDescent="0.45">
      <c r="K155" s="30"/>
    </row>
    <row r="156" spans="11:11" x14ac:dyDescent="0.45">
      <c r="K156" s="30"/>
    </row>
    <row r="157" spans="11:11" x14ac:dyDescent="0.45">
      <c r="K157" s="30"/>
    </row>
    <row r="158" spans="11:11" x14ac:dyDescent="0.45">
      <c r="K158" s="30"/>
    </row>
    <row r="159" spans="11:11" x14ac:dyDescent="0.45">
      <c r="K159" s="30"/>
    </row>
    <row r="160" spans="11:11" x14ac:dyDescent="0.45">
      <c r="K160" s="30"/>
    </row>
    <row r="161" spans="11:11" x14ac:dyDescent="0.45">
      <c r="K161" s="30"/>
    </row>
    <row r="162" spans="11:11" x14ac:dyDescent="0.45">
      <c r="K162" s="30"/>
    </row>
    <row r="163" spans="11:11" x14ac:dyDescent="0.45">
      <c r="K163" s="30"/>
    </row>
    <row r="164" spans="11:11" x14ac:dyDescent="0.45">
      <c r="K164" s="30"/>
    </row>
    <row r="165" spans="11:11" x14ac:dyDescent="0.45">
      <c r="K165" s="30"/>
    </row>
    <row r="166" spans="11:11" x14ac:dyDescent="0.45">
      <c r="K166" s="30"/>
    </row>
    <row r="167" spans="11:11" x14ac:dyDescent="0.45">
      <c r="K167" s="30"/>
    </row>
    <row r="168" spans="11:11" x14ac:dyDescent="0.45">
      <c r="K168" s="30"/>
    </row>
    <row r="169" spans="11:11" x14ac:dyDescent="0.45">
      <c r="K169" s="30"/>
    </row>
    <row r="170" spans="11:11" x14ac:dyDescent="0.45">
      <c r="K170" s="30"/>
    </row>
    <row r="171" spans="11:11" x14ac:dyDescent="0.45">
      <c r="K171" s="30"/>
    </row>
    <row r="172" spans="11:11" x14ac:dyDescent="0.45">
      <c r="K172" s="30"/>
    </row>
    <row r="173" spans="11:11" x14ac:dyDescent="0.45">
      <c r="K173" s="30"/>
    </row>
    <row r="174" spans="11:11" x14ac:dyDescent="0.45">
      <c r="K174" s="30"/>
    </row>
    <row r="175" spans="11:11" x14ac:dyDescent="0.45">
      <c r="K175" s="30"/>
    </row>
    <row r="176" spans="11:11" x14ac:dyDescent="0.45">
      <c r="K176" s="30"/>
    </row>
    <row r="177" spans="11:11" x14ac:dyDescent="0.45">
      <c r="K177" s="30"/>
    </row>
    <row r="178" spans="11:11" x14ac:dyDescent="0.45">
      <c r="K178" s="30"/>
    </row>
    <row r="179" spans="11:11" x14ac:dyDescent="0.45">
      <c r="K179" s="30"/>
    </row>
    <row r="180" spans="11:11" x14ac:dyDescent="0.45">
      <c r="K180" s="30"/>
    </row>
    <row r="181" spans="11:11" x14ac:dyDescent="0.45">
      <c r="K181" s="30"/>
    </row>
    <row r="182" spans="11:11" x14ac:dyDescent="0.45">
      <c r="K182" s="30"/>
    </row>
    <row r="183" spans="11:11" x14ac:dyDescent="0.45">
      <c r="K183" s="30"/>
    </row>
    <row r="184" spans="11:11" x14ac:dyDescent="0.45">
      <c r="K184" s="30"/>
    </row>
    <row r="185" spans="11:11" x14ac:dyDescent="0.45">
      <c r="K185" s="30"/>
    </row>
    <row r="186" spans="11:11" x14ac:dyDescent="0.45">
      <c r="K186" s="30"/>
    </row>
    <row r="187" spans="11:11" x14ac:dyDescent="0.45">
      <c r="K187" s="30"/>
    </row>
    <row r="188" spans="11:11" x14ac:dyDescent="0.45">
      <c r="K188" s="30"/>
    </row>
    <row r="189" spans="11:11" x14ac:dyDescent="0.45">
      <c r="K189" s="30"/>
    </row>
    <row r="190" spans="11:11" x14ac:dyDescent="0.45">
      <c r="K190" s="30"/>
    </row>
    <row r="191" spans="11:11" x14ac:dyDescent="0.45">
      <c r="K191" s="30"/>
    </row>
    <row r="192" spans="11:11" x14ac:dyDescent="0.45">
      <c r="K192" s="30"/>
    </row>
    <row r="193" spans="11:11" x14ac:dyDescent="0.45">
      <c r="K193" s="30"/>
    </row>
    <row r="194" spans="11:11" x14ac:dyDescent="0.45">
      <c r="K194" s="30"/>
    </row>
    <row r="195" spans="11:11" x14ac:dyDescent="0.45">
      <c r="K195" s="30"/>
    </row>
    <row r="196" spans="11:11" x14ac:dyDescent="0.45">
      <c r="K196" s="30"/>
    </row>
    <row r="197" spans="11:11" x14ac:dyDescent="0.45">
      <c r="K197" s="30"/>
    </row>
    <row r="198" spans="11:11" x14ac:dyDescent="0.45">
      <c r="K198" s="30"/>
    </row>
    <row r="199" spans="11:11" x14ac:dyDescent="0.45">
      <c r="K199" s="30"/>
    </row>
    <row r="200" spans="11:11" x14ac:dyDescent="0.45">
      <c r="K200" s="30"/>
    </row>
    <row r="201" spans="11:11" x14ac:dyDescent="0.45">
      <c r="K201" s="30"/>
    </row>
    <row r="202" spans="11:11" x14ac:dyDescent="0.45">
      <c r="K202" s="30"/>
    </row>
    <row r="203" spans="11:11" x14ac:dyDescent="0.45">
      <c r="K203" s="30"/>
    </row>
    <row r="204" spans="11:11" x14ac:dyDescent="0.45">
      <c r="K204" s="30"/>
    </row>
    <row r="205" spans="11:11" x14ac:dyDescent="0.45">
      <c r="K205" s="30"/>
    </row>
    <row r="206" spans="11:11" x14ac:dyDescent="0.45">
      <c r="K206" s="30"/>
    </row>
    <row r="207" spans="11:11" x14ac:dyDescent="0.45">
      <c r="K207" s="30"/>
    </row>
    <row r="208" spans="11:11" x14ac:dyDescent="0.45">
      <c r="K208" s="30"/>
    </row>
    <row r="209" spans="11:11" x14ac:dyDescent="0.45">
      <c r="K209" s="30"/>
    </row>
    <row r="210" spans="11:11" x14ac:dyDescent="0.45">
      <c r="K210" s="30"/>
    </row>
    <row r="211" spans="11:11" x14ac:dyDescent="0.45">
      <c r="K211" s="30"/>
    </row>
    <row r="212" spans="11:11" x14ac:dyDescent="0.45">
      <c r="K212" s="30"/>
    </row>
    <row r="213" spans="11:11" x14ac:dyDescent="0.45">
      <c r="K213" s="30"/>
    </row>
    <row r="214" spans="11:11" x14ac:dyDescent="0.45">
      <c r="K214" s="30"/>
    </row>
    <row r="215" spans="11:11" x14ac:dyDescent="0.45">
      <c r="K215" s="30"/>
    </row>
    <row r="216" spans="11:11" x14ac:dyDescent="0.45">
      <c r="K216" s="30"/>
    </row>
    <row r="217" spans="11:11" x14ac:dyDescent="0.45">
      <c r="K217" s="30"/>
    </row>
    <row r="218" spans="11:11" x14ac:dyDescent="0.45">
      <c r="K218" s="30"/>
    </row>
    <row r="219" spans="11:11" x14ac:dyDescent="0.45">
      <c r="K219" s="30"/>
    </row>
    <row r="220" spans="11:11" x14ac:dyDescent="0.45">
      <c r="K220" s="30"/>
    </row>
    <row r="221" spans="11:11" x14ac:dyDescent="0.45">
      <c r="K221" s="30"/>
    </row>
    <row r="222" spans="11:11" x14ac:dyDescent="0.45">
      <c r="K222" s="30"/>
    </row>
    <row r="223" spans="11:11" x14ac:dyDescent="0.45">
      <c r="K223" s="30"/>
    </row>
    <row r="224" spans="11:11" x14ac:dyDescent="0.45">
      <c r="K224" s="30"/>
    </row>
    <row r="225" spans="11:11" x14ac:dyDescent="0.45">
      <c r="K225" s="30"/>
    </row>
    <row r="226" spans="11:11" x14ac:dyDescent="0.45">
      <c r="K226" s="30"/>
    </row>
    <row r="227" spans="11:11" x14ac:dyDescent="0.45">
      <c r="K227" s="30"/>
    </row>
    <row r="228" spans="11:11" x14ac:dyDescent="0.45">
      <c r="K228" s="30"/>
    </row>
    <row r="229" spans="11:11" x14ac:dyDescent="0.45">
      <c r="K229" s="30"/>
    </row>
    <row r="230" spans="11:11" x14ac:dyDescent="0.45">
      <c r="K230" s="30"/>
    </row>
    <row r="231" spans="11:11" x14ac:dyDescent="0.45">
      <c r="K231" s="30"/>
    </row>
    <row r="232" spans="11:11" x14ac:dyDescent="0.45">
      <c r="K232" s="30"/>
    </row>
    <row r="233" spans="11:11" x14ac:dyDescent="0.45">
      <c r="K233" s="30"/>
    </row>
    <row r="234" spans="11:11" x14ac:dyDescent="0.45">
      <c r="K234" s="30"/>
    </row>
    <row r="235" spans="11:11" x14ac:dyDescent="0.45">
      <c r="K235" s="30"/>
    </row>
    <row r="236" spans="11:11" x14ac:dyDescent="0.45">
      <c r="K236" s="30"/>
    </row>
    <row r="237" spans="11:11" x14ac:dyDescent="0.45">
      <c r="K237" s="30"/>
    </row>
    <row r="238" spans="11:11" x14ac:dyDescent="0.45">
      <c r="K238" s="30"/>
    </row>
    <row r="239" spans="11:11" x14ac:dyDescent="0.45">
      <c r="K239" s="30"/>
    </row>
    <row r="240" spans="11:11" x14ac:dyDescent="0.45">
      <c r="K240" s="30"/>
    </row>
    <row r="241" spans="11:11" x14ac:dyDescent="0.45">
      <c r="K241" s="30"/>
    </row>
    <row r="242" spans="11:11" x14ac:dyDescent="0.45">
      <c r="K242" s="30"/>
    </row>
    <row r="243" spans="11:11" x14ac:dyDescent="0.45">
      <c r="K243" s="30"/>
    </row>
    <row r="244" spans="11:11" x14ac:dyDescent="0.45">
      <c r="K244" s="30"/>
    </row>
    <row r="245" spans="11:11" x14ac:dyDescent="0.45">
      <c r="K245" s="30"/>
    </row>
    <row r="246" spans="11:11" x14ac:dyDescent="0.45">
      <c r="K246" s="30"/>
    </row>
    <row r="247" spans="11:11" x14ac:dyDescent="0.45">
      <c r="K247" s="30"/>
    </row>
    <row r="248" spans="11:11" x14ac:dyDescent="0.45">
      <c r="K248" s="30"/>
    </row>
    <row r="249" spans="11:11" x14ac:dyDescent="0.45">
      <c r="K249" s="30"/>
    </row>
    <row r="250" spans="11:11" x14ac:dyDescent="0.45">
      <c r="K250" s="30"/>
    </row>
    <row r="251" spans="11:11" x14ac:dyDescent="0.45">
      <c r="K251" s="30"/>
    </row>
  </sheetData>
  <mergeCells count="104">
    <mergeCell ref="C50:E50"/>
    <mergeCell ref="G50:I50"/>
    <mergeCell ref="C36:E36"/>
    <mergeCell ref="G36:I36"/>
    <mergeCell ref="B49:I49"/>
    <mergeCell ref="M59:T59"/>
    <mergeCell ref="N60:P60"/>
    <mergeCell ref="R60:T60"/>
    <mergeCell ref="V3:AC3"/>
    <mergeCell ref="W4:Y4"/>
    <mergeCell ref="AA4:AC4"/>
    <mergeCell ref="V20:AC20"/>
    <mergeCell ref="W21:Y21"/>
    <mergeCell ref="AA21:AC21"/>
    <mergeCell ref="M3:T3"/>
    <mergeCell ref="N4:P4"/>
    <mergeCell ref="R4:T4"/>
    <mergeCell ref="M20:T20"/>
    <mergeCell ref="N21:P21"/>
    <mergeCell ref="R21:T21"/>
    <mergeCell ref="M42:T42"/>
    <mergeCell ref="C17:E17"/>
    <mergeCell ref="G17:I17"/>
    <mergeCell ref="B35:I35"/>
    <mergeCell ref="B1:I1"/>
    <mergeCell ref="C2:E2"/>
    <mergeCell ref="G2:I2"/>
    <mergeCell ref="B16:I16"/>
    <mergeCell ref="N43:P43"/>
    <mergeCell ref="R43:T43"/>
    <mergeCell ref="AF3:AS3"/>
    <mergeCell ref="AT3:AW3"/>
    <mergeCell ref="AU4:AW4"/>
    <mergeCell ref="M88:T88"/>
    <mergeCell ref="N89:P89"/>
    <mergeCell ref="R89:T89"/>
    <mergeCell ref="M105:T105"/>
    <mergeCell ref="N106:P106"/>
    <mergeCell ref="R106:T106"/>
    <mergeCell ref="V42:AC42"/>
    <mergeCell ref="W43:Y43"/>
    <mergeCell ref="AA43:AC43"/>
    <mergeCell ref="V59:AC59"/>
    <mergeCell ref="W60:Y60"/>
    <mergeCell ref="AA60:AC60"/>
    <mergeCell ref="AF16:AF17"/>
    <mergeCell ref="AG16:AG17"/>
    <mergeCell ref="AH16:AI16"/>
    <mergeCell ref="AJ16:AK16"/>
    <mergeCell ref="AL16:AM16"/>
    <mergeCell ref="AN4:AO4"/>
    <mergeCell ref="AP4:AQ4"/>
    <mergeCell ref="AR4:AS4"/>
    <mergeCell ref="AF15:AS15"/>
    <mergeCell ref="AH4:AI4"/>
    <mergeCell ref="AF4:AF5"/>
    <mergeCell ref="AG4:AG5"/>
    <mergeCell ref="AJ4:AK4"/>
    <mergeCell ref="AL4:AM4"/>
    <mergeCell ref="AN16:AO16"/>
    <mergeCell ref="AP16:AQ16"/>
    <mergeCell ref="AR16:AS16"/>
    <mergeCell ref="AH11:AI11"/>
    <mergeCell ref="AJ11:AK11"/>
    <mergeCell ref="AR11:AS11"/>
    <mergeCell ref="AL11:AM11"/>
    <mergeCell ref="AN11:AO11"/>
    <mergeCell ref="AP11:AQ11"/>
    <mergeCell ref="AR25:AS25"/>
    <mergeCell ref="AF30:AS30"/>
    <mergeCell ref="AF31:AF32"/>
    <mergeCell ref="AG31:AG32"/>
    <mergeCell ref="AH31:AI31"/>
    <mergeCell ref="AJ31:AK31"/>
    <mergeCell ref="AL31:AM31"/>
    <mergeCell ref="AN31:AO31"/>
    <mergeCell ref="AP31:AQ31"/>
    <mergeCell ref="AR31:AS31"/>
    <mergeCell ref="AH25:AI25"/>
    <mergeCell ref="AJ25:AK25"/>
    <mergeCell ref="AL25:AM25"/>
    <mergeCell ref="AN25:AO25"/>
    <mergeCell ref="AP25:AQ25"/>
    <mergeCell ref="AR52:AS52"/>
    <mergeCell ref="AH52:AI52"/>
    <mergeCell ref="AJ52:AK52"/>
    <mergeCell ref="AL52:AM52"/>
    <mergeCell ref="AN52:AO52"/>
    <mergeCell ref="AP52:AQ52"/>
    <mergeCell ref="AR38:AS38"/>
    <mergeCell ref="AF42:AS42"/>
    <mergeCell ref="AF43:AF44"/>
    <mergeCell ref="AG43:AG44"/>
    <mergeCell ref="AH43:AI43"/>
    <mergeCell ref="AJ43:AK43"/>
    <mergeCell ref="AL43:AM43"/>
    <mergeCell ref="AN43:AO43"/>
    <mergeCell ref="AP43:AQ43"/>
    <mergeCell ref="AR43:AS43"/>
    <mergeCell ref="AH38:AI38"/>
    <mergeCell ref="AJ38:AK38"/>
    <mergeCell ref="AL38:AM38"/>
    <mergeCell ref="AN38:AO38"/>
    <mergeCell ref="AP38:AQ38"/>
  </mergeCells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New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Giedre Sirilo</dc:creator>
  <cp:lastModifiedBy>Giedre Sirilo</cp:lastModifiedBy>
  <dcterms:created xsi:type="dcterms:W3CDTF">2025-07-08T01:44:21Z</dcterms:created>
  <dcterms:modified xsi:type="dcterms:W3CDTF">2025-08-11T19:54:53Z</dcterms:modified>
</cp:coreProperties>
</file>